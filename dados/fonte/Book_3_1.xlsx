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98F4725-3FEA-42D2-80B0-DFDBD5238D77}" xr6:coauthVersionLast="47" xr6:coauthVersionMax="47" xr10:uidLastSave="{00000000-0000-0000-0000-000000000000}"/>
  <bookViews>
    <workbookView xWindow="-120" yWindow="-120" windowWidth="25440" windowHeight="15390" activeTab="1" xr2:uid="{00000000-000D-0000-FFFF-FFFF00000000}"/>
  </bookViews>
  <sheets>
    <sheet name="Times" sheetId="1" r:id="rId1"/>
    <sheet name="Torcidas" sheetId="2" r:id="rId2"/>
    <sheet name="Níveis de cidades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5" l="1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I2" i="5"/>
</calcChain>
</file>

<file path=xl/sharedStrings.xml><?xml version="1.0" encoding="utf-8"?>
<sst xmlns="http://schemas.openxmlformats.org/spreadsheetml/2006/main" count="2754" uniqueCount="949">
  <si>
    <t>Nome Abreviado</t>
  </si>
  <si>
    <t>Nome Completo</t>
  </si>
  <si>
    <t>Sigla</t>
  </si>
  <si>
    <t>Alcunha</t>
  </si>
  <si>
    <t>Cidade</t>
  </si>
  <si>
    <t>Estado</t>
  </si>
  <si>
    <t>Nome Estadio</t>
  </si>
  <si>
    <t>Capacidade Estadio</t>
  </si>
  <si>
    <t>Cor Primaria</t>
  </si>
  <si>
    <t>Cor Secundária</t>
  </si>
  <si>
    <t>Cor terciária?</t>
  </si>
  <si>
    <t>Cor terciária</t>
  </si>
  <si>
    <t>Ano de Fundação</t>
  </si>
  <si>
    <t>Mascote</t>
  </si>
  <si>
    <t>Qualidade do elenco</t>
  </si>
  <si>
    <t>Divisão inicial</t>
  </si>
  <si>
    <t>Mapa</t>
  </si>
  <si>
    <t>Competição Regional</t>
  </si>
  <si>
    <t>feminino</t>
  </si>
  <si>
    <t>Flamengo</t>
  </si>
  <si>
    <t>Clube de Regatas do Flamengo</t>
  </si>
  <si>
    <t>CRF</t>
  </si>
  <si>
    <t>Mengão</t>
  </si>
  <si>
    <t>Rio de Janeiro</t>
  </si>
  <si>
    <t>RJ</t>
  </si>
  <si>
    <t>Maracanã</t>
  </si>
  <si>
    <t>Vermelho</t>
  </si>
  <si>
    <t>Preto</t>
  </si>
  <si>
    <t>Não</t>
  </si>
  <si>
    <t>-</t>
  </si>
  <si>
    <t>Urubu</t>
  </si>
  <si>
    <t>Brasileirão Série A</t>
  </si>
  <si>
    <t>Cariocão</t>
  </si>
  <si>
    <t>chapecoense</t>
  </si>
  <si>
    <t>Palmeiras</t>
  </si>
  <si>
    <t>Sociedade Esportiva Palmeiras</t>
  </si>
  <si>
    <t>SEP</t>
  </si>
  <si>
    <t>Verdão</t>
  </si>
  <si>
    <t>São Paulo</t>
  </si>
  <si>
    <t>SP</t>
  </si>
  <si>
    <t>Allianz Parque</t>
  </si>
  <si>
    <t>Verde</t>
  </si>
  <si>
    <t>Branco</t>
  </si>
  <si>
    <t>Porco</t>
  </si>
  <si>
    <t>Paulistão</t>
  </si>
  <si>
    <t>ponte preta</t>
  </si>
  <si>
    <t>São Paulo Futebol Clube</t>
  </si>
  <si>
    <t>SPFC</t>
  </si>
  <si>
    <t>Tricolor Paulista</t>
  </si>
  <si>
    <t>Morumbi</t>
  </si>
  <si>
    <t>Sim</t>
  </si>
  <si>
    <t>Santo Paulo</t>
  </si>
  <si>
    <t>portuguesa</t>
  </si>
  <si>
    <t>Corinthians</t>
  </si>
  <si>
    <t>Sport Club Corinthians Paulista</t>
  </si>
  <si>
    <t>SCCP</t>
  </si>
  <si>
    <t>Timão</t>
  </si>
  <si>
    <t>Neo Química Arena</t>
  </si>
  <si>
    <t>Mosqueteiro</t>
  </si>
  <si>
    <t>inter de limeira</t>
  </si>
  <si>
    <t>Bahia</t>
  </si>
  <si>
    <t>Esporte Clube Bahia</t>
  </si>
  <si>
    <t>ECB</t>
  </si>
  <si>
    <t>Esquadrão de Aço</t>
  </si>
  <si>
    <t>Salvador</t>
  </si>
  <si>
    <t>BA</t>
  </si>
  <si>
    <t>Arena Fonte Nova</t>
  </si>
  <si>
    <t>Azul</t>
  </si>
  <si>
    <t>Super-Homem</t>
  </si>
  <si>
    <t>Copa do Nordeste</t>
  </si>
  <si>
    <t>portuguesa santista</t>
  </si>
  <si>
    <t>Fluminense</t>
  </si>
  <si>
    <t>Fluminense Football Club</t>
  </si>
  <si>
    <t>FFC</t>
  </si>
  <si>
    <t>Tricolor</t>
  </si>
  <si>
    <t>Grená</t>
  </si>
  <si>
    <t>Guerreiro</t>
  </si>
  <si>
    <t>urt</t>
  </si>
  <si>
    <t>Botafogo</t>
  </si>
  <si>
    <t>Botafogo de Futebol e Regatas</t>
  </si>
  <si>
    <t>BFR</t>
  </si>
  <si>
    <t>Fogão</t>
  </si>
  <si>
    <t>Nilton Santos</t>
  </si>
  <si>
    <t>Cachorro</t>
  </si>
  <si>
    <t>tuna luso</t>
  </si>
  <si>
    <t>Atlético Mineiro</t>
  </si>
  <si>
    <t>Clube Atlético Mineiro</t>
  </si>
  <si>
    <t>CAM</t>
  </si>
  <si>
    <t>Galo</t>
  </si>
  <si>
    <t>Belo Horizonte</t>
  </si>
  <si>
    <t>MG</t>
  </si>
  <si>
    <t>Arena MRV</t>
  </si>
  <si>
    <t>Mineiro</t>
  </si>
  <si>
    <t>Cruzeiro</t>
  </si>
  <si>
    <t>Cruzeiro Esporte Clube</t>
  </si>
  <si>
    <t>CEC</t>
  </si>
  <si>
    <t>Raposa</t>
  </si>
  <si>
    <t>Mineirão</t>
  </si>
  <si>
    <t>Santos</t>
  </si>
  <si>
    <t>Santos Futebol Clube</t>
  </si>
  <si>
    <t>SFC</t>
  </si>
  <si>
    <t>Peixe</t>
  </si>
  <si>
    <t>Vila Belmiro</t>
  </si>
  <si>
    <t>Baleia</t>
  </si>
  <si>
    <t>Grêmio</t>
  </si>
  <si>
    <t>Grêmio Foot-Ball Porto Alegrense</t>
  </si>
  <si>
    <t>FBPA</t>
  </si>
  <si>
    <t>Imortal Tricolor</t>
  </si>
  <si>
    <t>Porto Alegre</t>
  </si>
  <si>
    <t>RS</t>
  </si>
  <si>
    <t>Arena do Grêmio</t>
  </si>
  <si>
    <t>Gauchão</t>
  </si>
  <si>
    <t>Mirassol</t>
  </si>
  <si>
    <t>Mirassol Futebol Clube</t>
  </si>
  <si>
    <t>MFC</t>
  </si>
  <si>
    <t>Leão da Alta</t>
  </si>
  <si>
    <t>Maião</t>
  </si>
  <si>
    <t>Amarelo</t>
  </si>
  <si>
    <t>Leão</t>
  </si>
  <si>
    <t>Interior de SP</t>
  </si>
  <si>
    <t>Bragantino</t>
  </si>
  <si>
    <t>Red Bull Bragantino</t>
  </si>
  <si>
    <t>RBB</t>
  </si>
  <si>
    <t>Massa Bruta</t>
  </si>
  <si>
    <t>Bragança Paulista</t>
  </si>
  <si>
    <t>Nabi Abi Chedid</t>
  </si>
  <si>
    <t>Toro Loko</t>
  </si>
  <si>
    <t>Região de Campinas</t>
  </si>
  <si>
    <t>Athletico</t>
  </si>
  <si>
    <t>Club Athletico Paranaense</t>
  </si>
  <si>
    <t>CAP</t>
  </si>
  <si>
    <t>Furacão</t>
  </si>
  <si>
    <t>Curitiba</t>
  </si>
  <si>
    <t>PR</t>
  </si>
  <si>
    <t>Ligga Arena</t>
  </si>
  <si>
    <t>Paranaense</t>
  </si>
  <si>
    <t>Vasco</t>
  </si>
  <si>
    <t>Club de Regatas Vasco da Gama</t>
  </si>
  <si>
    <t>CRVG</t>
  </si>
  <si>
    <t>Gigante da Colina</t>
  </si>
  <si>
    <t>São Januário</t>
  </si>
  <si>
    <t>Almirante</t>
  </si>
  <si>
    <t>Internacional</t>
  </si>
  <si>
    <t>Sport Club Internacional</t>
  </si>
  <si>
    <t>SCI</t>
  </si>
  <si>
    <t>Colorado</t>
  </si>
  <si>
    <t>Beira-Rio</t>
  </si>
  <si>
    <t>Saci</t>
  </si>
  <si>
    <t>Chapecoense</t>
  </si>
  <si>
    <t>Associação Chapecoense de Futebol</t>
  </si>
  <si>
    <t>ACF</t>
  </si>
  <si>
    <t>Verdão do Oeste</t>
  </si>
  <si>
    <t>Chapecó</t>
  </si>
  <si>
    <t>SC</t>
  </si>
  <si>
    <t>Arena Condá</t>
  </si>
  <si>
    <t>Índio Condá</t>
  </si>
  <si>
    <t>Interior de SC</t>
  </si>
  <si>
    <t>Catarinense</t>
  </si>
  <si>
    <t>Coritiba</t>
  </si>
  <si>
    <t>Coritiba Foot Ball Club</t>
  </si>
  <si>
    <t>CFC</t>
  </si>
  <si>
    <t>Coxa</t>
  </si>
  <si>
    <t>Couto Pereira</t>
  </si>
  <si>
    <t>Vovô Coxa</t>
  </si>
  <si>
    <t>Vitória</t>
  </si>
  <si>
    <t>Esporte Clube Vitória</t>
  </si>
  <si>
    <t>ECV</t>
  </si>
  <si>
    <t>Leão da Barra</t>
  </si>
  <si>
    <t>Barradão</t>
  </si>
  <si>
    <t>Remo</t>
  </si>
  <si>
    <t>Clube do Remo</t>
  </si>
  <si>
    <t>CR</t>
  </si>
  <si>
    <t>Leão Azul</t>
  </si>
  <si>
    <t>Belém</t>
  </si>
  <si>
    <t>PA</t>
  </si>
  <si>
    <t>Baenão</t>
  </si>
  <si>
    <t>Azul Marinho</t>
  </si>
  <si>
    <t>Copa Norte</t>
  </si>
  <si>
    <t>Fortaleza</t>
  </si>
  <si>
    <t>Fortaleza Esporte Clube</t>
  </si>
  <si>
    <t>FEC</t>
  </si>
  <si>
    <t>Leão do Pici</t>
  </si>
  <si>
    <t>CE</t>
  </si>
  <si>
    <t>Arena Castelão</t>
  </si>
  <si>
    <t>Brasileirão Série B</t>
  </si>
  <si>
    <t>Ceará</t>
  </si>
  <si>
    <t>Ceará Sporting Club</t>
  </si>
  <si>
    <t>CSC</t>
  </si>
  <si>
    <t>Vozão</t>
  </si>
  <si>
    <t>Vovô</t>
  </si>
  <si>
    <t>Juventude</t>
  </si>
  <si>
    <t>Esporte Clube Juventude</t>
  </si>
  <si>
    <t>ECJ</t>
  </si>
  <si>
    <t>Papo</t>
  </si>
  <si>
    <t>Caxias do Sul</t>
  </si>
  <si>
    <t>Alfredo Jaconi</t>
  </si>
  <si>
    <t>Periquito</t>
  </si>
  <si>
    <t>Interior do RS</t>
  </si>
  <si>
    <t>Goiás</t>
  </si>
  <si>
    <t>Goiás Esporte Clube</t>
  </si>
  <si>
    <t>GEC</t>
  </si>
  <si>
    <t>Esmeraldino</t>
  </si>
  <si>
    <t>Goiânia</t>
  </si>
  <si>
    <t>GO</t>
  </si>
  <si>
    <t>Serrinha</t>
  </si>
  <si>
    <t>Copa Centro-Oeste</t>
  </si>
  <si>
    <t>Sport Recife</t>
  </si>
  <si>
    <t>Sport Club do Recife</t>
  </si>
  <si>
    <t>SCR</t>
  </si>
  <si>
    <t>Leão da Ilha</t>
  </si>
  <si>
    <t>Recife</t>
  </si>
  <si>
    <t>PE</t>
  </si>
  <si>
    <t>Ilha do Retiro</t>
  </si>
  <si>
    <t>Atlético/GO</t>
  </si>
  <si>
    <t>Atlético Clube Goianiense</t>
  </si>
  <si>
    <t>ACG</t>
  </si>
  <si>
    <t>Dragão</t>
  </si>
  <si>
    <t>Antônio Accioly</t>
  </si>
  <si>
    <t>América/MG</t>
  </si>
  <si>
    <t>América Futebol Clube</t>
  </si>
  <si>
    <t>AFC</t>
  </si>
  <si>
    <t>Coelho</t>
  </si>
  <si>
    <t>Independência</t>
  </si>
  <si>
    <t>Cuiabá</t>
  </si>
  <si>
    <t>Cuiabá Esporte Clube</t>
  </si>
  <si>
    <t>Dourado</t>
  </si>
  <si>
    <t>MT</t>
  </si>
  <si>
    <t>Arena Pantanal</t>
  </si>
  <si>
    <t>Mato Grosso</t>
  </si>
  <si>
    <t>Novorizontino</t>
  </si>
  <si>
    <t>Grêmio Novorizontino</t>
  </si>
  <si>
    <t>GEN</t>
  </si>
  <si>
    <t>Tigre do Vale</t>
  </si>
  <si>
    <t>Novo Horizonte</t>
  </si>
  <si>
    <t>Jorge Ismael de Biasi</t>
  </si>
  <si>
    <t>Tigre</t>
  </si>
  <si>
    <t>Criciúma</t>
  </si>
  <si>
    <t>Criciúma Esporte Clube</t>
  </si>
  <si>
    <t>Heriberto Hülse</t>
  </si>
  <si>
    <t>Londrina</t>
  </si>
  <si>
    <t>Londrina Esporte Clube</t>
  </si>
  <si>
    <t>LEC</t>
  </si>
  <si>
    <t>Tubarão</t>
  </si>
  <si>
    <t>Estádio do Café</t>
  </si>
  <si>
    <t>Interior do PR</t>
  </si>
  <si>
    <t>Avaí</t>
  </si>
  <si>
    <t>Avaí Futebol Clube</t>
  </si>
  <si>
    <t>Florianópolis</t>
  </si>
  <si>
    <t>Ressacada</t>
  </si>
  <si>
    <t>Litoral Catarinense</t>
  </si>
  <si>
    <t>CRB</t>
  </si>
  <si>
    <t>Clube de Regatas Brasil</t>
  </si>
  <si>
    <t>Galo da Pajuçara</t>
  </si>
  <si>
    <t>Maceió</t>
  </si>
  <si>
    <t>AL</t>
  </si>
  <si>
    <t>Rei Pelé</t>
  </si>
  <si>
    <t>Galo de Campina</t>
  </si>
  <si>
    <t>Alagoas</t>
  </si>
  <si>
    <t>Náutico</t>
  </si>
  <si>
    <t>Clube Náutico Capibaribe</t>
  </si>
  <si>
    <t>CNC</t>
  </si>
  <si>
    <t>Timbu</t>
  </si>
  <si>
    <t>Aflitos</t>
  </si>
  <si>
    <t>Vila Nova</t>
  </si>
  <si>
    <t>Vila Nova Futebol Clube</t>
  </si>
  <si>
    <t>VNFC</t>
  </si>
  <si>
    <t>OBA</t>
  </si>
  <si>
    <t>Ponte Preta</t>
  </si>
  <si>
    <t>Associação Atlética Ponte Preta</t>
  </si>
  <si>
    <t>AAPP</t>
  </si>
  <si>
    <t>Macaca</t>
  </si>
  <si>
    <t>Campinas</t>
  </si>
  <si>
    <t>Moisés Lucarelli</t>
  </si>
  <si>
    <t>Athletic</t>
  </si>
  <si>
    <t>Athletic Club</t>
  </si>
  <si>
    <t>AC</t>
  </si>
  <si>
    <t>São João del-Rei</t>
  </si>
  <si>
    <t>Arena Sicredi</t>
  </si>
  <si>
    <t>Interior de Minas</t>
  </si>
  <si>
    <t>Botafogo/SP</t>
  </si>
  <si>
    <t>Botafogo Futebol Clube</t>
  </si>
  <si>
    <t>BFC</t>
  </si>
  <si>
    <t>Pantera</t>
  </si>
  <si>
    <t>Ribeirão Preto</t>
  </si>
  <si>
    <t>Santa Cruz</t>
  </si>
  <si>
    <t>Operário/PR</t>
  </si>
  <si>
    <t>Operário Ferroviário Esporte Clube</t>
  </si>
  <si>
    <t>OFEC</t>
  </si>
  <si>
    <t>Fantasma</t>
  </si>
  <si>
    <t>Ponta Grossa</t>
  </si>
  <si>
    <t>Germano Krüger</t>
  </si>
  <si>
    <t>São Bernardo</t>
  </si>
  <si>
    <t>São Bernardo Futebol Clube</t>
  </si>
  <si>
    <t>SBFC</t>
  </si>
  <si>
    <t>Bernô</t>
  </si>
  <si>
    <t>São Bernardo do Campo</t>
  </si>
  <si>
    <t>Primeiro de Maio</t>
  </si>
  <si>
    <t>Cachorrão</t>
  </si>
  <si>
    <t>ABC Paulista</t>
  </si>
  <si>
    <t>Botafogo/PB</t>
  </si>
  <si>
    <t>Belo</t>
  </si>
  <si>
    <t>João Pessoa</t>
  </si>
  <si>
    <t>PB</t>
  </si>
  <si>
    <t>Almeidão</t>
  </si>
  <si>
    <t>Xerife</t>
  </si>
  <si>
    <t>Brasileirão Série C</t>
  </si>
  <si>
    <t>Paraíba</t>
  </si>
  <si>
    <t>Guarani</t>
  </si>
  <si>
    <t>Guarani Futebol Clube</t>
  </si>
  <si>
    <t>GFC</t>
  </si>
  <si>
    <t>Bugre</t>
  </si>
  <si>
    <t>Brinco de Ouro</t>
  </si>
  <si>
    <t>Índio</t>
  </si>
  <si>
    <t>Paulistão A2</t>
  </si>
  <si>
    <t>Portuguesa</t>
  </si>
  <si>
    <t>Associação Atlética Portuguesa</t>
  </si>
  <si>
    <t>AAP</t>
  </si>
  <si>
    <t>Lusa</t>
  </si>
  <si>
    <t>Canindé</t>
  </si>
  <si>
    <t>Santa Cruz Futebol Clube</t>
  </si>
  <si>
    <t>SCFC</t>
  </si>
  <si>
    <t>Cobra Coral</t>
  </si>
  <si>
    <t>Arruda</t>
  </si>
  <si>
    <t>Paysandu</t>
  </si>
  <si>
    <t>Paysandu Sport Club</t>
  </si>
  <si>
    <t>PSC</t>
  </si>
  <si>
    <t>Papão da Curuzu</t>
  </si>
  <si>
    <t>Curuzu</t>
  </si>
  <si>
    <t>Lobo</t>
  </si>
  <si>
    <t>ABC</t>
  </si>
  <si>
    <t>ABC Futebol Clube</t>
  </si>
  <si>
    <t>Mais Querido</t>
  </si>
  <si>
    <t>Natal</t>
  </si>
  <si>
    <t>RN</t>
  </si>
  <si>
    <t>Frasqueirão</t>
  </si>
  <si>
    <t>Elefante</t>
  </si>
  <si>
    <t>Rio Grande do Norte</t>
  </si>
  <si>
    <t>América/RN</t>
  </si>
  <si>
    <t>Mecão</t>
  </si>
  <si>
    <t>Arena das Dunas</t>
  </si>
  <si>
    <t>Figueirense</t>
  </si>
  <si>
    <t>Figueirense Futebol Clube</t>
  </si>
  <si>
    <t>Furacão do Estreito</t>
  </si>
  <si>
    <t>Orlando Scarpelli</t>
  </si>
  <si>
    <t>Ferroviário</t>
  </si>
  <si>
    <t>Ferroviário Atlético Clube</t>
  </si>
  <si>
    <t>FAC</t>
  </si>
  <si>
    <t>Ferrão</t>
  </si>
  <si>
    <t>Presidente Vargas</t>
  </si>
  <si>
    <t>Amazonas</t>
  </si>
  <si>
    <t>Amazonas Futebol Clube</t>
  </si>
  <si>
    <t>Onça-pintada</t>
  </si>
  <si>
    <t>Manaus</t>
  </si>
  <si>
    <t>AM</t>
  </si>
  <si>
    <t>Arena da Amazônia</t>
  </si>
  <si>
    <t>Brasil de Pelotas</t>
  </si>
  <si>
    <t>Grêmio Esportivo Brasil</t>
  </si>
  <si>
    <t>GEB</t>
  </si>
  <si>
    <t>Xavante</t>
  </si>
  <si>
    <t>Pelotas</t>
  </si>
  <si>
    <t>Bento Freitas</t>
  </si>
  <si>
    <t>Índio Xavante</t>
  </si>
  <si>
    <t>Confiança</t>
  </si>
  <si>
    <t>Associação Desportiva Confiança</t>
  </si>
  <si>
    <t>ADC</t>
  </si>
  <si>
    <t>Dragão do Bairro Industrial</t>
  </si>
  <si>
    <t>Aracaju</t>
  </si>
  <si>
    <t>SE</t>
  </si>
  <si>
    <t>Batistão</t>
  </si>
  <si>
    <t>Sergipe</t>
  </si>
  <si>
    <t>Paraná</t>
  </si>
  <si>
    <t>Paraná Clube</t>
  </si>
  <si>
    <t>PRC</t>
  </si>
  <si>
    <t>Tricolor da Vila</t>
  </si>
  <si>
    <t>Vila Capanema</t>
  </si>
  <si>
    <t>Gralha-Azul</t>
  </si>
  <si>
    <t>Treze</t>
  </si>
  <si>
    <t>Treze Futebol Clube</t>
  </si>
  <si>
    <t>TFC</t>
  </si>
  <si>
    <t>Galo da Borborema</t>
  </si>
  <si>
    <t>Campina Grande</t>
  </si>
  <si>
    <t>Campinense</t>
  </si>
  <si>
    <t>Campinense Clube</t>
  </si>
  <si>
    <t>CC</t>
  </si>
  <si>
    <t>Amigão</t>
  </si>
  <si>
    <t>Caxias</t>
  </si>
  <si>
    <t>Sociedade Esportiva e Recreativa Caxias do Sul</t>
  </si>
  <si>
    <t>SERC</t>
  </si>
  <si>
    <t>Grená do Povo</t>
  </si>
  <si>
    <t>Centenário</t>
  </si>
  <si>
    <t>Falcão</t>
  </si>
  <si>
    <t>Inter de Limeira</t>
  </si>
  <si>
    <t>Associação Atlética Internacional</t>
  </si>
  <si>
    <t>AAIL</t>
  </si>
  <si>
    <t>Leão da Paulista</t>
  </si>
  <si>
    <t>Limeira</t>
  </si>
  <si>
    <t>Limeirão</t>
  </si>
  <si>
    <t>Sampaio Correa</t>
  </si>
  <si>
    <t>Sampaio Corrêa Futebol Clube</t>
  </si>
  <si>
    <t>Bolívia Querida</t>
  </si>
  <si>
    <t>São Luís</t>
  </si>
  <si>
    <t>MA</t>
  </si>
  <si>
    <t>Castelão</t>
  </si>
  <si>
    <t>Meio-Norte</t>
  </si>
  <si>
    <t>Gama</t>
  </si>
  <si>
    <t>Sociedade Esportiva do Gama</t>
  </si>
  <si>
    <t>SEG</t>
  </si>
  <si>
    <t>DF</t>
  </si>
  <si>
    <t>Bezerrão</t>
  </si>
  <si>
    <t>Brasília</t>
  </si>
  <si>
    <t>Floresta</t>
  </si>
  <si>
    <t>Floresta Esporte Clube</t>
  </si>
  <si>
    <t>Lobo da Vila</t>
  </si>
  <si>
    <t>Rio Negro</t>
  </si>
  <si>
    <t>Atlético Rio Negro Clube</t>
  </si>
  <si>
    <t>ARNC</t>
  </si>
  <si>
    <t>Galo da Praça da Saudade</t>
  </si>
  <si>
    <t>Colina</t>
  </si>
  <si>
    <t>Brasileirão Série D</t>
  </si>
  <si>
    <t>Sousa</t>
  </si>
  <si>
    <t>Sousa Esporte Clube</t>
  </si>
  <si>
    <t>SEC</t>
  </si>
  <si>
    <t>Dinossauro</t>
  </si>
  <si>
    <t>Marizão</t>
  </si>
  <si>
    <t>Nordestão Série B</t>
  </si>
  <si>
    <t>Moto Club</t>
  </si>
  <si>
    <t>Moto Club de São Luís</t>
  </si>
  <si>
    <t>MCV</t>
  </si>
  <si>
    <t>Papão do Norte</t>
  </si>
  <si>
    <t>Nhozinho Santos</t>
  </si>
  <si>
    <t>Papão</t>
  </si>
  <si>
    <t>ASA</t>
  </si>
  <si>
    <t>Agremiação Sportiva Arapiraquense</t>
  </si>
  <si>
    <t>Fantasma de Alagoas</t>
  </si>
  <si>
    <t>Arapiraca</t>
  </si>
  <si>
    <t>Fumeirão</t>
  </si>
  <si>
    <t>Volta Redonda</t>
  </si>
  <si>
    <t>Volta Redonda Futebol Clube</t>
  </si>
  <si>
    <t>VRFC</t>
  </si>
  <si>
    <t>Voltaço</t>
  </si>
  <si>
    <t>Raulino de Oliveira</t>
  </si>
  <si>
    <t>Jaguatirica</t>
  </si>
  <si>
    <t>Subúrbio Carioca</t>
  </si>
  <si>
    <t>CSA</t>
  </si>
  <si>
    <t>Centro Sportivo Alagoano</t>
  </si>
  <si>
    <t>Azulão</t>
  </si>
  <si>
    <t>Mutum</t>
  </si>
  <si>
    <t>Icasa</t>
  </si>
  <si>
    <t>Associação Desportiva Recreativa Cultural Icasa</t>
  </si>
  <si>
    <t>ADRC</t>
  </si>
  <si>
    <t>Verdão do Cariri</t>
  </si>
  <si>
    <t>Juazeiro do Norte</t>
  </si>
  <si>
    <t>Arena Romeirão</t>
  </si>
  <si>
    <t>Papagaio</t>
  </si>
  <si>
    <t>Interior do CE</t>
  </si>
  <si>
    <t>Brasiliense</t>
  </si>
  <si>
    <t>Brasiliense Futebol Clube</t>
  </si>
  <si>
    <t>Jacaré</t>
  </si>
  <si>
    <t>Taguatinga</t>
  </si>
  <si>
    <t>Serejão</t>
  </si>
  <si>
    <t>Mixto</t>
  </si>
  <si>
    <t>Mixto Esporte Clube</t>
  </si>
  <si>
    <t>MEC</t>
  </si>
  <si>
    <t>Tigre da Vargas</t>
  </si>
  <si>
    <t>Dutrinha</t>
  </si>
  <si>
    <t>Joinville</t>
  </si>
  <si>
    <t>Joinville Esporte Clube</t>
  </si>
  <si>
    <t>JEC</t>
  </si>
  <si>
    <t>Arena Joinville</t>
  </si>
  <si>
    <t>Nacional</t>
  </si>
  <si>
    <t>Nacional Futebol Clube</t>
  </si>
  <si>
    <t>NFC</t>
  </si>
  <si>
    <t>Leão da Vila Municipal</t>
  </si>
  <si>
    <t>Manaus Futebol Clube</t>
  </si>
  <si>
    <t>Gavião do Norte</t>
  </si>
  <si>
    <t>Gavião</t>
  </si>
  <si>
    <t>Guarany de Sobral</t>
  </si>
  <si>
    <t>Guarany Sporting Club</t>
  </si>
  <si>
    <t>GSC</t>
  </si>
  <si>
    <t>Cacique do Vale</t>
  </si>
  <si>
    <t>Sobral</t>
  </si>
  <si>
    <t>Junco</t>
  </si>
  <si>
    <t>Cacique</t>
  </si>
  <si>
    <t>Central</t>
  </si>
  <si>
    <t>Central Sport Club</t>
  </si>
  <si>
    <t>Patativa</t>
  </si>
  <si>
    <t>Caruaru</t>
  </si>
  <si>
    <t>Lacerdão</t>
  </si>
  <si>
    <t>Interior de PE</t>
  </si>
  <si>
    <t>Esporte Clube Pelotas</t>
  </si>
  <si>
    <t>ECP</t>
  </si>
  <si>
    <t>Lobão</t>
  </si>
  <si>
    <t>Boca do Lobo</t>
  </si>
  <si>
    <t>Club Sportivo Sergipe</t>
  </si>
  <si>
    <t>CSS</t>
  </si>
  <si>
    <t>Gipão</t>
  </si>
  <si>
    <t>João Hora</t>
  </si>
  <si>
    <t>Diabo</t>
  </si>
  <si>
    <t>São Caetano</t>
  </si>
  <si>
    <t>Associação Desportiva São Caetano</t>
  </si>
  <si>
    <t>ADSC</t>
  </si>
  <si>
    <t>São Caetano do Sul</t>
  </si>
  <si>
    <t>Anacleto Campanella</t>
  </si>
  <si>
    <t>Ituano</t>
  </si>
  <si>
    <t>Ituano Futebol Clube</t>
  </si>
  <si>
    <t>IFC</t>
  </si>
  <si>
    <t>Galo de Itu</t>
  </si>
  <si>
    <t>Itu</t>
  </si>
  <si>
    <t>Novelli Júnior</t>
  </si>
  <si>
    <t>Portuguesa Santista</t>
  </si>
  <si>
    <t>Briosa</t>
  </si>
  <si>
    <t>Ulrico Mursa</t>
  </si>
  <si>
    <t>Burrico</t>
  </si>
  <si>
    <t>Santo André</t>
  </si>
  <si>
    <t>Esporte Clube Santo André</t>
  </si>
  <si>
    <t>ECSA</t>
  </si>
  <si>
    <t>Ramalhão</t>
  </si>
  <si>
    <t>Bruno José Daniel</t>
  </si>
  <si>
    <t>Bangu</t>
  </si>
  <si>
    <t>Bangu Atlético Clube</t>
  </si>
  <si>
    <t>BAC</t>
  </si>
  <si>
    <t>Alvirrubro</t>
  </si>
  <si>
    <t>Moça Bonita</t>
  </si>
  <si>
    <t>Castor</t>
  </si>
  <si>
    <t>Madureira</t>
  </si>
  <si>
    <t>Madureira Esporte Clube</t>
  </si>
  <si>
    <t>Tricolor Suburbano</t>
  </si>
  <si>
    <t>Conselheiro Galvão</t>
  </si>
  <si>
    <t>Zé Carioca</t>
  </si>
  <si>
    <t>Ypiranga/PE</t>
  </si>
  <si>
    <t>Sociedade Esportiva Ypiranga Futebol Clube</t>
  </si>
  <si>
    <t>SEY</t>
  </si>
  <si>
    <t>Máquina de Costura</t>
  </si>
  <si>
    <t>Santa Cruz do Capibaribe</t>
  </si>
  <si>
    <t>Baraúnas</t>
  </si>
  <si>
    <t>Associação Cultural Esporte Clube Baraúnas</t>
  </si>
  <si>
    <t>ACEB</t>
  </si>
  <si>
    <t>Leão do Oeste</t>
  </si>
  <si>
    <t>Mossoró</t>
  </si>
  <si>
    <t>Nogueirão</t>
  </si>
  <si>
    <t>Potiguar</t>
  </si>
  <si>
    <t>Associação Cultural e Desportiva Potiguar</t>
  </si>
  <si>
    <t>ACDP</t>
  </si>
  <si>
    <t>Time Macho</t>
  </si>
  <si>
    <t>Cangaceiro</t>
  </si>
  <si>
    <t>Paulista de Jundiaí</t>
  </si>
  <si>
    <t>Paulista Futebol Clube</t>
  </si>
  <si>
    <t>PFC</t>
  </si>
  <si>
    <t>Galo do Japi</t>
  </si>
  <si>
    <t>Jundiaí</t>
  </si>
  <si>
    <t>Jayme Cintra</t>
  </si>
  <si>
    <t>America</t>
  </si>
  <si>
    <t>America Football Club</t>
  </si>
  <si>
    <t>Giulite Coutinho</t>
  </si>
  <si>
    <t>Goytacaz</t>
  </si>
  <si>
    <t>Goytacaz Futebol Clube</t>
  </si>
  <si>
    <t>Alvianil da Rua do Gás</t>
  </si>
  <si>
    <t>Campos dos Goytacazes</t>
  </si>
  <si>
    <t>Ary de Oliveira e Souza</t>
  </si>
  <si>
    <t>Americano</t>
  </si>
  <si>
    <t>Americano Futebol Clube</t>
  </si>
  <si>
    <t>Cano</t>
  </si>
  <si>
    <t>Antônio Ferreira de Medeiros</t>
  </si>
  <si>
    <t>XV de Piracicaba</t>
  </si>
  <si>
    <t>Esporte Clube XV de Novembro</t>
  </si>
  <si>
    <t>ECXV</t>
  </si>
  <si>
    <t>Nhô Quim</t>
  </si>
  <si>
    <t>Piracicaba</t>
  </si>
  <si>
    <t>Barão de Serra Negra</t>
  </si>
  <si>
    <t>Mamoré</t>
  </si>
  <si>
    <t>Esporte Clube Mamoré</t>
  </si>
  <si>
    <t>ECM</t>
  </si>
  <si>
    <t>Sapo</t>
  </si>
  <si>
    <t>Patos de Minas</t>
  </si>
  <si>
    <t>Bernardo Rubinger de Queiroz</t>
  </si>
  <si>
    <t>URT</t>
  </si>
  <si>
    <t>União Recreativa dos Trabalhadores</t>
  </si>
  <si>
    <t>Trovão Azul</t>
  </si>
  <si>
    <t>Zama Maciel</t>
  </si>
  <si>
    <t>Arara Azul</t>
  </si>
  <si>
    <t>Noroeste</t>
  </si>
  <si>
    <t>Esporte Clube Noroeste</t>
  </si>
  <si>
    <t>ECN</t>
  </si>
  <si>
    <t>Norusca</t>
  </si>
  <si>
    <t>Bauru</t>
  </si>
  <si>
    <t>Alfredo de Castilho</t>
  </si>
  <si>
    <t>Locomotiva</t>
  </si>
  <si>
    <t>Imperatriz</t>
  </si>
  <si>
    <t>Sociedade Imperatriz de Desportos</t>
  </si>
  <si>
    <t>SID</t>
  </si>
  <si>
    <t>Cavalo de Aço</t>
  </si>
  <si>
    <t>Frei Epifânio</t>
  </si>
  <si>
    <t>Ceilândia</t>
  </si>
  <si>
    <t>Ceilândia Esporte Clube</t>
  </si>
  <si>
    <t>Gato Preto</t>
  </si>
  <si>
    <t>Abadião</t>
  </si>
  <si>
    <t>Ypiranga/RS</t>
  </si>
  <si>
    <t>Ypiranga Futebol Clube</t>
  </si>
  <si>
    <t>YFC</t>
  </si>
  <si>
    <t>Canarinho</t>
  </si>
  <si>
    <t>Erechim</t>
  </si>
  <si>
    <t>Colosso da Lagoa</t>
  </si>
  <si>
    <t>São José</t>
  </si>
  <si>
    <t>Esporte Clube São José</t>
  </si>
  <si>
    <t>ECSJ</t>
  </si>
  <si>
    <t>Zequinha</t>
  </si>
  <si>
    <t>Passo d'Areia</t>
  </si>
  <si>
    <t>Ríver</t>
  </si>
  <si>
    <t>Ríver Atlético Clube</t>
  </si>
  <si>
    <t>RAC</t>
  </si>
  <si>
    <t>Galo Carijó</t>
  </si>
  <si>
    <t>Teresina</t>
  </si>
  <si>
    <t>PI</t>
  </si>
  <si>
    <t>Albertão</t>
  </si>
  <si>
    <t>Fluminense de Feira</t>
  </si>
  <si>
    <t>Fluminense de Feira Futebol Clube</t>
  </si>
  <si>
    <t>FFFC</t>
  </si>
  <si>
    <t>Touro do Sertão</t>
  </si>
  <si>
    <t>Feira de Santana</t>
  </si>
  <si>
    <t>Joia da Princesa</t>
  </si>
  <si>
    <t>Touro</t>
  </si>
  <si>
    <t>Tuna Luso</t>
  </si>
  <si>
    <t>Tuna Luso Brasileira</t>
  </si>
  <si>
    <t>TLB</t>
  </si>
  <si>
    <t>Águia do Souza</t>
  </si>
  <si>
    <t>Souza</t>
  </si>
  <si>
    <t>Águia</t>
  </si>
  <si>
    <t>União Rondonópolis</t>
  </si>
  <si>
    <t>União Esporte Clube</t>
  </si>
  <si>
    <t>UEC</t>
  </si>
  <si>
    <t>Rondonópolis</t>
  </si>
  <si>
    <t>Luthero Lopes</t>
  </si>
  <si>
    <t>Maringá</t>
  </si>
  <si>
    <t>Maringá Futebol Clube</t>
  </si>
  <si>
    <t>Dogão</t>
  </si>
  <si>
    <t>Willie Davids</t>
  </si>
  <si>
    <t>Barra</t>
  </si>
  <si>
    <t>Barra Futebol Clube</t>
  </si>
  <si>
    <t>Pescador</t>
  </si>
  <si>
    <t>Balneário Camboriú</t>
  </si>
  <si>
    <t>Doutor Hercílio Luz</t>
  </si>
  <si>
    <t>Itabaiana</t>
  </si>
  <si>
    <t>Associação Olímpica de Itabaiana</t>
  </si>
  <si>
    <t>AOI</t>
  </si>
  <si>
    <t>Tremendão da Serra</t>
  </si>
  <si>
    <t>Etelvino Mendonça</t>
  </si>
  <si>
    <t>Tremendão</t>
  </si>
  <si>
    <t>Salgueiro</t>
  </si>
  <si>
    <t>Salgueiro Atlético Clube</t>
  </si>
  <si>
    <t>SAC</t>
  </si>
  <si>
    <t>Carcará</t>
  </si>
  <si>
    <t>Cornélio de Barros</t>
  </si>
  <si>
    <t>Iguatu</t>
  </si>
  <si>
    <t>Associação Desportiva Iguatu</t>
  </si>
  <si>
    <t>ADI</t>
  </si>
  <si>
    <t>Morenão</t>
  </si>
  <si>
    <t>Águia de Marabá</t>
  </si>
  <si>
    <t>Águia de Marabá Futebol Clube</t>
  </si>
  <si>
    <t>AMFC</t>
  </si>
  <si>
    <t>Marabá</t>
  </si>
  <si>
    <t>Zinho de Oliveira</t>
  </si>
  <si>
    <t>Anápolis</t>
  </si>
  <si>
    <t>Anápolis Futebol Clube</t>
  </si>
  <si>
    <t>Galo da Comarca</t>
  </si>
  <si>
    <t>Jonas Duarte</t>
  </si>
  <si>
    <t>Torcida</t>
  </si>
  <si>
    <t>Data de fundação</t>
  </si>
  <si>
    <t>Time</t>
  </si>
  <si>
    <t>Cor da camisa</t>
  </si>
  <si>
    <t>Cor do calção</t>
  </si>
  <si>
    <t>Linha na camisa</t>
  </si>
  <si>
    <t>Quantidade de NPCs</t>
  </si>
  <si>
    <t>MAPA</t>
  </si>
  <si>
    <t>QTD NPCS</t>
  </si>
  <si>
    <t>NIVEL</t>
  </si>
  <si>
    <t>QTD TORCIDAS</t>
  </si>
  <si>
    <t>QTD TIMES</t>
  </si>
  <si>
    <t>Garra Alvinegra</t>
  </si>
  <si>
    <t>Nível 1</t>
  </si>
  <si>
    <t>Ultras do ABC</t>
  </si>
  <si>
    <t>Raça Amazonas</t>
  </si>
  <si>
    <t>Sangue Americano</t>
  </si>
  <si>
    <t>Seita Verde</t>
  </si>
  <si>
    <t>Máfia Vermelha</t>
  </si>
  <si>
    <t>Nível 2</t>
  </si>
  <si>
    <t>Império Americano</t>
  </si>
  <si>
    <t>Mancha Negra do ASA</t>
  </si>
  <si>
    <t>Esquadrão Alvinegro</t>
  </si>
  <si>
    <t>Os Fanáticos</t>
  </si>
  <si>
    <t>Ultras 92</t>
  </si>
  <si>
    <t>Galoucura</t>
  </si>
  <si>
    <t>Esquadrão Atleticano</t>
  </si>
  <si>
    <t>Dragões Atleticanos</t>
  </si>
  <si>
    <t>Mancha Azul</t>
  </si>
  <si>
    <t>Azul claro</t>
  </si>
  <si>
    <t>Azul Claro</t>
  </si>
  <si>
    <t>Bamor</t>
  </si>
  <si>
    <t>Nível 3</t>
  </si>
  <si>
    <t>Terror Tricolor</t>
  </si>
  <si>
    <t>Super Bangu</t>
  </si>
  <si>
    <t>Fúria Jovem Baraúnas</t>
  </si>
  <si>
    <t>Fúria Jovem Botafogo</t>
  </si>
  <si>
    <t>Torcida Jovem Botafogo</t>
  </si>
  <si>
    <t>Fúria do Botafogo/PB</t>
  </si>
  <si>
    <t>Jovem do Botafogo/PB</t>
  </si>
  <si>
    <t>Maranhão</t>
  </si>
  <si>
    <t>Fiel Força Tricolor</t>
  </si>
  <si>
    <t>Guerreiros do Leão</t>
  </si>
  <si>
    <t>Cinza</t>
  </si>
  <si>
    <t>Comando Rubro-Negro</t>
  </si>
  <si>
    <t>Facção Brasiliense</t>
  </si>
  <si>
    <t>Facção Jovem</t>
  </si>
  <si>
    <t>Falange Grená</t>
  </si>
  <si>
    <t>Cearamor</t>
  </si>
  <si>
    <t>MOFI</t>
  </si>
  <si>
    <t>Aliança</t>
  </si>
  <si>
    <t>Comando Alvinegro</t>
  </si>
  <si>
    <t>Jovem Chape</t>
  </si>
  <si>
    <t>Jovem Confiança</t>
  </si>
  <si>
    <t>Gaviões</t>
  </si>
  <si>
    <t>Camisa 12</t>
  </si>
  <si>
    <t>Pavilhão 9</t>
  </si>
  <si>
    <t>Império Alviverde</t>
  </si>
  <si>
    <t>Dragões Alviverdes</t>
  </si>
  <si>
    <t>Comando Alvirrubro</t>
  </si>
  <si>
    <t>Garra</t>
  </si>
  <si>
    <t>Os Tigres</t>
  </si>
  <si>
    <t>Máfia Azul</t>
  </si>
  <si>
    <t>Pavilhão Independente</t>
  </si>
  <si>
    <t>Sangue Azul</t>
  </si>
  <si>
    <t>Mancha Azul do CSA</t>
  </si>
  <si>
    <t>Raça Cuiabana</t>
  </si>
  <si>
    <t>Falange Coral</t>
  </si>
  <si>
    <t>Gaviões Alvinegros</t>
  </si>
  <si>
    <t>Jovem Fla</t>
  </si>
  <si>
    <t>Raça Fla</t>
  </si>
  <si>
    <t>Young Flu</t>
  </si>
  <si>
    <t>Força Flu</t>
  </si>
  <si>
    <t>Leões da TUF</t>
  </si>
  <si>
    <t>Jovem Garra Tricolor</t>
  </si>
  <si>
    <t>Ira Jovem do Gama</t>
  </si>
  <si>
    <t>Força Jovem Goiás</t>
  </si>
  <si>
    <t>Jovem Goyta</t>
  </si>
  <si>
    <t>Super Raça Gremista</t>
  </si>
  <si>
    <t>Torcida Jovem do Grêmio</t>
  </si>
  <si>
    <t>Fúria Independente</t>
  </si>
  <si>
    <t>Força Jovem Guarany</t>
  </si>
  <si>
    <t>Fúria Icasiana</t>
  </si>
  <si>
    <t>Interror</t>
  </si>
  <si>
    <t>Nação Independente</t>
  </si>
  <si>
    <t>Camisa 12 do Inter</t>
  </si>
  <si>
    <t>União Tricolor</t>
  </si>
  <si>
    <t>Mancha Verde Juventude</t>
  </si>
  <si>
    <t>Falange Azul</t>
  </si>
  <si>
    <t>Ultras Madureira</t>
  </si>
  <si>
    <t>Independente do Mamoré</t>
  </si>
  <si>
    <t>Gavirmãos</t>
  </si>
  <si>
    <t>Fúria do Leão</t>
  </si>
  <si>
    <t>Boca Suja</t>
  </si>
  <si>
    <t>Motofolia</t>
  </si>
  <si>
    <t>Narraça</t>
  </si>
  <si>
    <t>Fanáutico</t>
  </si>
  <si>
    <t>Sangue Rubro</t>
  </si>
  <si>
    <t>Garra do Tigre</t>
  </si>
  <si>
    <t>Trem Fantasma</t>
  </si>
  <si>
    <t>Mancha Verde</t>
  </si>
  <si>
    <t>TUP</t>
  </si>
  <si>
    <t>Raça Tricolor</t>
  </si>
  <si>
    <t>Terror Bicolor</t>
  </si>
  <si>
    <t>Facção Jovem Paysandu</t>
  </si>
  <si>
    <t>Força Jovem Pelotas</t>
  </si>
  <si>
    <t>Jovem Ponte</t>
  </si>
  <si>
    <t>Leões da Fabulosa</t>
  </si>
  <si>
    <t>Império Vermelho</t>
  </si>
  <si>
    <t>Remista</t>
  </si>
  <si>
    <t>Azul marinho</t>
  </si>
  <si>
    <t>Pavilhão 6</t>
  </si>
  <si>
    <t>Mancha Negra</t>
  </si>
  <si>
    <t>Dragões da Fiel</t>
  </si>
  <si>
    <t>Tubarões da Fiel</t>
  </si>
  <si>
    <t>Inferno Coral</t>
  </si>
  <si>
    <t>Raça Coral</t>
  </si>
  <si>
    <t>Fúria Andreense</t>
  </si>
  <si>
    <t>Torcida Jovem</t>
  </si>
  <si>
    <t>Sangue Jovem</t>
  </si>
  <si>
    <t>Guerreiros do Tigre</t>
  </si>
  <si>
    <t>Comando Azul</t>
  </si>
  <si>
    <t>Independente</t>
  </si>
  <si>
    <t>Dragões da Real</t>
  </si>
  <si>
    <t>Esquadrão Colorado</t>
  </si>
  <si>
    <t>Força Alviverde</t>
  </si>
  <si>
    <t>Jovem Sport</t>
  </si>
  <si>
    <t>Gang da Ilha</t>
  </si>
  <si>
    <t>Torcida Jovem do Galo</t>
  </si>
  <si>
    <t>Poeira Azul</t>
  </si>
  <si>
    <t>Força Jovem Vasco</t>
  </si>
  <si>
    <t>Ira Jovem do Vasco</t>
  </si>
  <si>
    <t>Esquadrão Vilanovense</t>
  </si>
  <si>
    <t>Os Imbatíveis</t>
  </si>
  <si>
    <t>Camisa 12 do Vitória</t>
  </si>
  <si>
    <t>Jovem do Voltaço</t>
  </si>
  <si>
    <t>Torcida Esquadrão</t>
  </si>
  <si>
    <t>Fúria Jovem Ypiranga</t>
  </si>
  <si>
    <t>Força Jovem Cavalina</t>
  </si>
  <si>
    <t>Camisa 13</t>
  </si>
  <si>
    <t>Mancha do Ypiranga</t>
  </si>
  <si>
    <t>Os Farrapos</t>
  </si>
  <si>
    <t>Falange Tricolor</t>
  </si>
  <si>
    <t>Movimento Uniformizado Cruzmaltino</t>
  </si>
  <si>
    <t>União Fanática</t>
  </si>
  <si>
    <t>Força Maringaense</t>
  </si>
  <si>
    <t>Jovem Barra</t>
  </si>
  <si>
    <t>Jovem Tricolor</t>
  </si>
  <si>
    <t>Jovem do Salgueiro</t>
  </si>
  <si>
    <t>Fúria Azul do Iguatu</t>
  </si>
  <si>
    <t>Jovem Águia</t>
  </si>
  <si>
    <t>Independente do Anápolis</t>
  </si>
  <si>
    <t>Esporão do Galo</t>
  </si>
  <si>
    <t>Galoucura do Ituano</t>
  </si>
  <si>
    <t>Força Rubro Verde</t>
  </si>
  <si>
    <t>Jovem do Floresta</t>
  </si>
  <si>
    <t>Torcedores</t>
  </si>
  <si>
    <t>Nível</t>
  </si>
  <si>
    <t>Guardas no mapa</t>
  </si>
  <si>
    <t>PMs no mapa</t>
  </si>
  <si>
    <t>choque no mapa</t>
  </si>
  <si>
    <t>Total estimado de personagens</t>
  </si>
  <si>
    <t>Quarteirões</t>
  </si>
  <si>
    <t>npcs por quarteirão</t>
  </si>
  <si>
    <t>TGA</t>
  </si>
  <si>
    <t>ULTRAS</t>
  </si>
  <si>
    <t>RAÇA</t>
  </si>
  <si>
    <t>ESQUADRÃO</t>
  </si>
  <si>
    <t>DRAGÕES</t>
  </si>
  <si>
    <t>FALANGE</t>
  </si>
  <si>
    <t>TRA</t>
  </si>
  <si>
    <t>TIM</t>
  </si>
  <si>
    <t>TMA</t>
  </si>
  <si>
    <t>TSA</t>
  </si>
  <si>
    <t>TSV</t>
  </si>
  <si>
    <t>TMV</t>
  </si>
  <si>
    <t>TEA</t>
  </si>
  <si>
    <t>TFB</t>
  </si>
  <si>
    <t>IMPERIO</t>
  </si>
  <si>
    <t>TOMN</t>
  </si>
  <si>
    <t>ESQUAD</t>
  </si>
  <si>
    <t>GALOUC</t>
  </si>
  <si>
    <t>TOF</t>
  </si>
  <si>
    <t>TOG</t>
  </si>
  <si>
    <t>TOB</t>
  </si>
  <si>
    <t>TOC</t>
  </si>
  <si>
    <t>U92</t>
  </si>
  <si>
    <t>TODA</t>
  </si>
  <si>
    <t>TOMA</t>
  </si>
  <si>
    <t>TOTT</t>
  </si>
  <si>
    <t>TSB</t>
  </si>
  <si>
    <t>FJB</t>
  </si>
  <si>
    <t>TJB</t>
  </si>
  <si>
    <t>FFT</t>
  </si>
  <si>
    <t>CRN</t>
  </si>
  <si>
    <t>FJBA</t>
  </si>
  <si>
    <t>FURIAPB</t>
  </si>
  <si>
    <t>TJBPB</t>
  </si>
  <si>
    <t>TGL</t>
  </si>
  <si>
    <t>TFJ</t>
  </si>
  <si>
    <t>TCA</t>
  </si>
  <si>
    <t>GAVIOES</t>
  </si>
  <si>
    <t>TJF</t>
  </si>
  <si>
    <t>CMA</t>
  </si>
  <si>
    <t>FORÇA</t>
  </si>
  <si>
    <t>MV</t>
  </si>
  <si>
    <t>FJV</t>
  </si>
  <si>
    <t>TJG</t>
  </si>
  <si>
    <t>FJG</t>
  </si>
  <si>
    <t>IJG</t>
  </si>
  <si>
    <t>TTI</t>
  </si>
  <si>
    <t>TUF</t>
  </si>
  <si>
    <t>TOIC</t>
  </si>
  <si>
    <t>TJS</t>
  </si>
  <si>
    <t>C12</t>
  </si>
  <si>
    <t>TUTB</t>
  </si>
  <si>
    <t>TOR</t>
  </si>
  <si>
    <t>IAV</t>
  </si>
  <si>
    <t>TYF</t>
  </si>
  <si>
    <t>TJFAN</t>
  </si>
  <si>
    <t>TEV</t>
  </si>
  <si>
    <t>TUI</t>
  </si>
  <si>
    <t>TOCV</t>
  </si>
  <si>
    <t>TOCA</t>
  </si>
  <si>
    <t>TFI</t>
  </si>
  <si>
    <t>TJP</t>
  </si>
  <si>
    <t>MVJ</t>
  </si>
  <si>
    <t>OT</t>
  </si>
  <si>
    <t>SRG</t>
  </si>
  <si>
    <t>UT</t>
  </si>
  <si>
    <t>IJV</t>
  </si>
  <si>
    <t>TFI HSG</t>
  </si>
  <si>
    <t>P9</t>
  </si>
  <si>
    <t>TTA</t>
  </si>
  <si>
    <t>TTF</t>
  </si>
  <si>
    <t>TOGA</t>
  </si>
  <si>
    <t>TEC</t>
  </si>
  <si>
    <t>TPI</t>
  </si>
  <si>
    <t>NAÇÃO</t>
  </si>
  <si>
    <t>GANG</t>
  </si>
  <si>
    <t>TFA</t>
  </si>
  <si>
    <t>JGT</t>
  </si>
  <si>
    <t>TJC</t>
  </si>
  <si>
    <t>FJP</t>
  </si>
  <si>
    <t>FJY</t>
  </si>
  <si>
    <t>MY</t>
  </si>
  <si>
    <t>TUMF</t>
  </si>
  <si>
    <t>NARRAÇA</t>
  </si>
  <si>
    <t>INTERROR</t>
  </si>
  <si>
    <t>TJT</t>
  </si>
  <si>
    <t>SJS</t>
  </si>
  <si>
    <t>TJSALG</t>
  </si>
  <si>
    <t>TEG</t>
  </si>
  <si>
    <t>TFF</t>
  </si>
  <si>
    <t>GARRA</t>
  </si>
  <si>
    <t>GAVIR</t>
  </si>
  <si>
    <t>INDEP</t>
  </si>
  <si>
    <t>UF</t>
  </si>
  <si>
    <t>LEOES</t>
  </si>
  <si>
    <t>TOP6</t>
  </si>
  <si>
    <t>JÁGUIA</t>
  </si>
  <si>
    <t>JBARRA</t>
  </si>
  <si>
    <t>DRAGOES</t>
  </si>
  <si>
    <t>ALIANCA</t>
  </si>
  <si>
    <t>TGT</t>
  </si>
  <si>
    <t>TFL</t>
  </si>
  <si>
    <t>BOCSUJ</t>
  </si>
  <si>
    <t>RAÇTRI</t>
  </si>
  <si>
    <t>SANGRU</t>
  </si>
  <si>
    <t>GARTI</t>
  </si>
  <si>
    <t>TIV</t>
  </si>
  <si>
    <t>TDF</t>
  </si>
  <si>
    <t>TFT</t>
  </si>
  <si>
    <t>POEIRAZ</t>
  </si>
  <si>
    <t>C12VIT</t>
  </si>
  <si>
    <t>TJVOLT</t>
  </si>
  <si>
    <t>FJC</t>
  </si>
  <si>
    <t>MUC</t>
  </si>
  <si>
    <t>FRV</t>
  </si>
  <si>
    <t>C13</t>
  </si>
  <si>
    <t>OSFARR</t>
  </si>
  <si>
    <t>FURIA</t>
  </si>
  <si>
    <t>JOVEMFLO</t>
  </si>
  <si>
    <t>SANGAZ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</si>
</sst>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charset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quotePrefix="1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0" fontId="1" fillId="0" borderId="4" xfId="0" applyFont="1" applyBorder="1" applyAlignment="1">
      <alignment readingOrder="1"/>
    </xf>
    <xf numFmtId="0" fontId="1" fillId="0" borderId="5" xfId="0" applyFont="1" applyBorder="1" applyAlignment="1">
      <alignment readingOrder="1"/>
    </xf>
    <xf numFmtId="3" fontId="1" fillId="0" borderId="5" xfId="0" applyNumberFormat="1" applyFont="1" applyBorder="1" applyAlignment="1">
      <alignment readingOrder="1"/>
    </xf>
    <xf numFmtId="0" fontId="1" fillId="0" borderId="5" xfId="0" quotePrefix="1" applyFont="1" applyBorder="1" applyAlignment="1">
      <alignment readingOrder="1"/>
    </xf>
    <xf numFmtId="0" fontId="1" fillId="0" borderId="6" xfId="0" applyFont="1" applyBorder="1" applyAlignment="1">
      <alignment readingOrder="1"/>
    </xf>
    <xf numFmtId="0" fontId="1" fillId="0" borderId="7" xfId="0" applyFont="1" applyBorder="1" applyAlignment="1">
      <alignment readingOrder="1"/>
    </xf>
    <xf numFmtId="0" fontId="1" fillId="0" borderId="8" xfId="0" applyFont="1" applyBorder="1" applyAlignment="1">
      <alignment readingOrder="1"/>
    </xf>
    <xf numFmtId="3" fontId="1" fillId="0" borderId="8" xfId="0" applyNumberFormat="1" applyFont="1" applyBorder="1" applyAlignment="1">
      <alignment readingOrder="1"/>
    </xf>
    <xf numFmtId="0" fontId="1" fillId="0" borderId="8" xfId="0" quotePrefix="1" applyFont="1" applyBorder="1" applyAlignment="1">
      <alignment readingOrder="1"/>
    </xf>
    <xf numFmtId="0" fontId="1" fillId="0" borderId="9" xfId="0" applyFont="1" applyBorder="1" applyAlignment="1">
      <alignment readingOrder="1"/>
    </xf>
    <xf numFmtId="0" fontId="1" fillId="0" borderId="10" xfId="0" applyFont="1" applyBorder="1" applyAlignment="1">
      <alignment readingOrder="1"/>
    </xf>
    <xf numFmtId="0" fontId="1" fillId="0" borderId="11" xfId="0" applyFont="1" applyBorder="1" applyAlignment="1">
      <alignment readingOrder="1"/>
    </xf>
    <xf numFmtId="3" fontId="1" fillId="0" borderId="11" xfId="0" applyNumberFormat="1" applyFont="1" applyBorder="1" applyAlignment="1">
      <alignment readingOrder="1"/>
    </xf>
    <xf numFmtId="0" fontId="1" fillId="0" borderId="12" xfId="0" applyFont="1" applyBorder="1" applyAlignment="1">
      <alignment readingOrder="1"/>
    </xf>
    <xf numFmtId="14" fontId="0" fillId="0" borderId="0" xfId="0" applyNumberFormat="1"/>
    <xf numFmtId="0" fontId="0" fillId="0" borderId="2" xfId="0" applyBorder="1"/>
    <xf numFmtId="0" fontId="1" fillId="0" borderId="0" xfId="0" applyFont="1" applyBorder="1" applyAlignment="1">
      <alignment readingOrder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417444-F3C7-4E17-B86D-413BE63F94EC}" name="Tabela1" displayName="Tabela1" ref="A1:R109" totalsRowShown="0">
  <autoFilter ref="A1:R109" xr:uid="{46417444-F3C7-4E17-B86D-413BE63F94EC}"/>
  <sortState xmlns:xlrd2="http://schemas.microsoft.com/office/spreadsheetml/2017/richdata2" ref="A2:P94">
    <sortCondition descending="1" ref="O1:O94"/>
  </sortState>
  <tableColumns count="18">
    <tableColumn id="1" xr3:uid="{16238FD7-428E-4466-A7DC-FE828167608C}" name="Nome Abreviado"/>
    <tableColumn id="6" xr3:uid="{5FD95DE8-AEE2-44AB-8CB0-EFAA7FE2280A}" name="Nome Completo"/>
    <tableColumn id="7" xr3:uid="{A21A4068-EBF0-436E-BE0A-5D1B0EFD66C6}" name="Sigla"/>
    <tableColumn id="8" xr3:uid="{835B300A-B2AB-4716-8484-4673426BD66D}" name="Alcunha"/>
    <tableColumn id="9" xr3:uid="{07C1A9D0-39C2-46EB-9511-3CD1E72DE71F}" name="Cidade"/>
    <tableColumn id="10" xr3:uid="{DCC09CC5-F35C-43CF-95BE-EA99DD28F7EC}" name="Estado"/>
    <tableColumn id="11" xr3:uid="{FD0C9BDB-CB48-432E-BA27-ACC1A461D147}" name="Nome Estadio"/>
    <tableColumn id="12" xr3:uid="{4DD6CB3B-68C3-4B2F-AC26-E47E694BC67D}" name="Capacidade Estadio"/>
    <tableColumn id="13" xr3:uid="{CC98DAC3-C16E-4ECE-B8B1-671458F8F226}" name="Cor Primaria"/>
    <tableColumn id="14" xr3:uid="{AB44A20C-0DFC-4858-B7CF-EB110E8B8901}" name="Cor Secundária"/>
    <tableColumn id="15" xr3:uid="{F09ABC91-7348-4B45-AF89-717B291D40CB}" name="Cor terciária?"/>
    <tableColumn id="16" xr3:uid="{938C0F21-C808-4FAE-AD0E-5592AB1F5934}" name="Cor terciária"/>
    <tableColumn id="17" xr3:uid="{913C08CE-8163-4353-A9C7-F59EA7AB4E9B}" name="Ano de Fundação"/>
    <tableColumn id="19" xr3:uid="{51056006-3CFD-4048-867F-2B83A20B19B4}" name="Mascote"/>
    <tableColumn id="2" xr3:uid="{32E3E265-427D-4C85-82AD-1365CBFAAC14}" name="Qualidade do elenco"/>
    <tableColumn id="3" xr3:uid="{3D7B5F57-D618-418D-A2E6-E210055E2114}" name="Divisão inicial"/>
    <tableColumn id="5" xr3:uid="{019070BC-C296-4E20-808F-BCF07B5B052B}" name="Mapa"/>
    <tableColumn id="4" xr3:uid="{47EEF3BB-D18A-48A1-A805-C52D32C14C81}" name="Competição Region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B04D8F-8565-4F76-BD12-C944E7E685F1}" name="Tabela2" displayName="Tabela2" ref="A1:I139" totalsRowShown="0">
  <autoFilter ref="A1:I139" xr:uid="{A4B04D8F-8565-4F76-BD12-C944E7E685F1}"/>
  <sortState xmlns:xlrd2="http://schemas.microsoft.com/office/spreadsheetml/2017/richdata2" ref="A2:I139">
    <sortCondition descending="1" ref="I1:I139"/>
  </sortState>
  <tableColumns count="9">
    <tableColumn id="1" xr3:uid="{67D8D6CE-74E9-4B1A-A971-D641A94CA200}" name="Torcida"/>
    <tableColumn id="9" xr3:uid="{A80A4DFF-C6AE-401C-B7A2-D423DDAEA0C6}" name="Sigla"/>
    <tableColumn id="8" xr3:uid="{3B22972F-D26F-491F-A5D2-F791479D329B}" name="Data de fundação"/>
    <tableColumn id="2" xr3:uid="{9B5066FB-1024-4E23-97E3-8FD4B1C70240}" name="Time"/>
    <tableColumn id="3" xr3:uid="{D38C39D3-B19E-47E4-9066-F6D0CD21BD81}" name="Mapa"/>
    <tableColumn id="4" xr3:uid="{3077F036-024E-4CEA-B37E-8EC092290303}" name="Cor da camisa"/>
    <tableColumn id="5" xr3:uid="{3A8D090A-235B-4355-9283-73624910B862}" name="Cor do calção"/>
    <tableColumn id="7" xr3:uid="{8C2D9B3E-4204-4F65-B1A1-DFA9742FEFC7}" name="Linha na camisa"/>
    <tableColumn id="6" xr3:uid="{D92BD533-3998-46B5-B57F-B8F711C59763}" name="Quantidade de NPC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9"/>
  <sheetViews>
    <sheetView topLeftCell="A3" workbookViewId="0">
      <selection activeCell="A2" sqref="A2:A109"/>
    </sheetView>
  </sheetViews>
  <sheetFormatPr defaultRowHeight="15" x14ac:dyDescent="0.25"/>
  <cols>
    <col min="1" max="14" width="19.42578125" customWidth="1"/>
    <col min="15" max="15" width="21.42578125" customWidth="1"/>
    <col min="16" max="17" width="16.5703125" customWidth="1"/>
    <col min="18" max="18" width="16.8554687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T1" t="s">
        <v>18</v>
      </c>
    </row>
    <row r="2" spans="1:20" x14ac:dyDescent="0.25">
      <c r="A2" t="s">
        <v>19</v>
      </c>
      <c r="B2" s="5" t="s">
        <v>20</v>
      </c>
      <c r="C2" s="6" t="s">
        <v>21</v>
      </c>
      <c r="D2" s="6" t="s">
        <v>22</v>
      </c>
      <c r="E2" s="6" t="s">
        <v>23</v>
      </c>
      <c r="F2" s="6" t="s">
        <v>24</v>
      </c>
      <c r="G2" s="6" t="s">
        <v>25</v>
      </c>
      <c r="H2" s="7">
        <v>78838</v>
      </c>
      <c r="I2" s="6" t="s">
        <v>26</v>
      </c>
      <c r="J2" s="6" t="s">
        <v>27</v>
      </c>
      <c r="K2" s="6" t="s">
        <v>28</v>
      </c>
      <c r="L2" s="8" t="s">
        <v>29</v>
      </c>
      <c r="M2" s="9">
        <v>1895</v>
      </c>
      <c r="N2" s="2" t="s">
        <v>30</v>
      </c>
      <c r="O2">
        <v>50</v>
      </c>
      <c r="P2" t="s">
        <v>31</v>
      </c>
      <c r="Q2" t="s">
        <v>23</v>
      </c>
      <c r="R2" t="s">
        <v>32</v>
      </c>
      <c r="T2" t="s">
        <v>33</v>
      </c>
    </row>
    <row r="3" spans="1:20" x14ac:dyDescent="0.25">
      <c r="A3" t="s">
        <v>34</v>
      </c>
      <c r="B3" s="10" t="s">
        <v>35</v>
      </c>
      <c r="C3" s="11" t="s">
        <v>36</v>
      </c>
      <c r="D3" s="11" t="s">
        <v>37</v>
      </c>
      <c r="E3" s="11" t="s">
        <v>38</v>
      </c>
      <c r="F3" s="11" t="s">
        <v>39</v>
      </c>
      <c r="G3" s="11" t="s">
        <v>40</v>
      </c>
      <c r="H3" s="12">
        <v>43713</v>
      </c>
      <c r="I3" s="11" t="s">
        <v>41</v>
      </c>
      <c r="J3" s="11" t="s">
        <v>42</v>
      </c>
      <c r="K3" s="11" t="s">
        <v>28</v>
      </c>
      <c r="L3" s="13" t="s">
        <v>29</v>
      </c>
      <c r="M3" s="14">
        <v>1914</v>
      </c>
      <c r="N3" s="3" t="s">
        <v>43</v>
      </c>
      <c r="O3">
        <v>48</v>
      </c>
      <c r="P3" t="s">
        <v>31</v>
      </c>
      <c r="Q3" t="s">
        <v>38</v>
      </c>
      <c r="R3" t="s">
        <v>44</v>
      </c>
      <c r="T3" t="s">
        <v>45</v>
      </c>
    </row>
    <row r="4" spans="1:20" x14ac:dyDescent="0.25">
      <c r="A4" t="s">
        <v>38</v>
      </c>
      <c r="B4" s="10" t="s">
        <v>46</v>
      </c>
      <c r="C4" s="11" t="s">
        <v>47</v>
      </c>
      <c r="D4" s="11" t="s">
        <v>48</v>
      </c>
      <c r="E4" s="11" t="s">
        <v>38</v>
      </c>
      <c r="F4" s="11" t="s">
        <v>39</v>
      </c>
      <c r="G4" s="11" t="s">
        <v>49</v>
      </c>
      <c r="H4" s="12">
        <v>66795</v>
      </c>
      <c r="I4" s="11" t="s">
        <v>42</v>
      </c>
      <c r="J4" s="11" t="s">
        <v>26</v>
      </c>
      <c r="K4" s="11" t="s">
        <v>50</v>
      </c>
      <c r="L4" s="11" t="s">
        <v>27</v>
      </c>
      <c r="M4" s="14">
        <v>1930</v>
      </c>
      <c r="N4" s="3" t="s">
        <v>51</v>
      </c>
      <c r="O4">
        <v>38</v>
      </c>
      <c r="P4" t="s">
        <v>31</v>
      </c>
      <c r="Q4" t="s">
        <v>38</v>
      </c>
      <c r="R4" t="s">
        <v>44</v>
      </c>
      <c r="T4" t="s">
        <v>52</v>
      </c>
    </row>
    <row r="5" spans="1:20" x14ac:dyDescent="0.25">
      <c r="A5" t="s">
        <v>53</v>
      </c>
      <c r="B5" s="10" t="s">
        <v>54</v>
      </c>
      <c r="C5" s="11" t="s">
        <v>55</v>
      </c>
      <c r="D5" s="11" t="s">
        <v>56</v>
      </c>
      <c r="E5" s="11" t="s">
        <v>38</v>
      </c>
      <c r="F5" s="11" t="s">
        <v>39</v>
      </c>
      <c r="G5" s="11" t="s">
        <v>57</v>
      </c>
      <c r="H5" s="12">
        <v>47605</v>
      </c>
      <c r="I5" s="11" t="s">
        <v>42</v>
      </c>
      <c r="J5" s="11" t="s">
        <v>27</v>
      </c>
      <c r="K5" s="11" t="s">
        <v>28</v>
      </c>
      <c r="L5" s="13" t="s">
        <v>29</v>
      </c>
      <c r="M5" s="14">
        <v>1910</v>
      </c>
      <c r="N5" s="3" t="s">
        <v>58</v>
      </c>
      <c r="O5">
        <v>38</v>
      </c>
      <c r="P5" t="s">
        <v>31</v>
      </c>
      <c r="Q5" t="s">
        <v>38</v>
      </c>
      <c r="R5" t="s">
        <v>44</v>
      </c>
      <c r="T5" t="s">
        <v>59</v>
      </c>
    </row>
    <row r="6" spans="1:20" x14ac:dyDescent="0.25">
      <c r="A6" t="s">
        <v>60</v>
      </c>
      <c r="B6" s="10" t="s">
        <v>61</v>
      </c>
      <c r="C6" s="11" t="s">
        <v>62</v>
      </c>
      <c r="D6" s="11" t="s">
        <v>63</v>
      </c>
      <c r="E6" s="11" t="s">
        <v>64</v>
      </c>
      <c r="F6" s="11" t="s">
        <v>65</v>
      </c>
      <c r="G6" s="11" t="s">
        <v>66</v>
      </c>
      <c r="H6" s="12">
        <v>47907</v>
      </c>
      <c r="I6" s="11" t="s">
        <v>42</v>
      </c>
      <c r="J6" s="11" t="s">
        <v>67</v>
      </c>
      <c r="K6" s="11" t="s">
        <v>50</v>
      </c>
      <c r="L6" s="11" t="s">
        <v>26</v>
      </c>
      <c r="M6" s="14">
        <v>1931</v>
      </c>
      <c r="N6" s="3" t="s">
        <v>68</v>
      </c>
      <c r="O6">
        <v>36</v>
      </c>
      <c r="P6" t="s">
        <v>31</v>
      </c>
      <c r="Q6" t="s">
        <v>60</v>
      </c>
      <c r="R6" t="s">
        <v>69</v>
      </c>
      <c r="T6" t="s">
        <v>70</v>
      </c>
    </row>
    <row r="7" spans="1:20" x14ac:dyDescent="0.25">
      <c r="A7" t="s">
        <v>71</v>
      </c>
      <c r="B7" s="10" t="s">
        <v>72</v>
      </c>
      <c r="C7" s="11" t="s">
        <v>73</v>
      </c>
      <c r="D7" s="11" t="s">
        <v>74</v>
      </c>
      <c r="E7" s="11" t="s">
        <v>23</v>
      </c>
      <c r="F7" s="11" t="s">
        <v>24</v>
      </c>
      <c r="G7" s="11" t="s">
        <v>25</v>
      </c>
      <c r="H7" s="12">
        <v>78838</v>
      </c>
      <c r="I7" s="11" t="s">
        <v>75</v>
      </c>
      <c r="J7" s="11" t="s">
        <v>41</v>
      </c>
      <c r="K7" s="11" t="s">
        <v>50</v>
      </c>
      <c r="L7" s="11" t="s">
        <v>42</v>
      </c>
      <c r="M7" s="14">
        <v>1902</v>
      </c>
      <c r="N7" s="3" t="s">
        <v>76</v>
      </c>
      <c r="O7">
        <v>36</v>
      </c>
      <c r="P7" t="s">
        <v>31</v>
      </c>
      <c r="Q7" t="s">
        <v>23</v>
      </c>
      <c r="R7" t="s">
        <v>32</v>
      </c>
      <c r="T7" t="s">
        <v>77</v>
      </c>
    </row>
    <row r="8" spans="1:20" x14ac:dyDescent="0.25">
      <c r="A8" t="s">
        <v>78</v>
      </c>
      <c r="B8" s="10" t="s">
        <v>79</v>
      </c>
      <c r="C8" s="11" t="s">
        <v>80</v>
      </c>
      <c r="D8" s="11" t="s">
        <v>81</v>
      </c>
      <c r="E8" s="11" t="s">
        <v>23</v>
      </c>
      <c r="F8" s="11" t="s">
        <v>24</v>
      </c>
      <c r="G8" s="11" t="s">
        <v>82</v>
      </c>
      <c r="H8" s="12">
        <v>45000</v>
      </c>
      <c r="I8" s="11" t="s">
        <v>27</v>
      </c>
      <c r="J8" s="11" t="s">
        <v>42</v>
      </c>
      <c r="K8" s="11" t="s">
        <v>28</v>
      </c>
      <c r="L8" s="13" t="s">
        <v>29</v>
      </c>
      <c r="M8" s="14">
        <v>1904</v>
      </c>
      <c r="N8" s="3" t="s">
        <v>83</v>
      </c>
      <c r="O8">
        <v>36</v>
      </c>
      <c r="P8" t="s">
        <v>31</v>
      </c>
      <c r="Q8" t="s">
        <v>23</v>
      </c>
      <c r="R8" t="s">
        <v>32</v>
      </c>
      <c r="T8" t="s">
        <v>84</v>
      </c>
    </row>
    <row r="9" spans="1:20" x14ac:dyDescent="0.25">
      <c r="A9" t="s">
        <v>85</v>
      </c>
      <c r="B9" s="10" t="s">
        <v>86</v>
      </c>
      <c r="C9" s="11" t="s">
        <v>87</v>
      </c>
      <c r="D9" s="11" t="s">
        <v>88</v>
      </c>
      <c r="E9" s="11" t="s">
        <v>89</v>
      </c>
      <c r="F9" s="11" t="s">
        <v>90</v>
      </c>
      <c r="G9" s="11" t="s">
        <v>91</v>
      </c>
      <c r="H9" s="12">
        <v>46000</v>
      </c>
      <c r="I9" s="11" t="s">
        <v>27</v>
      </c>
      <c r="J9" s="11" t="s">
        <v>42</v>
      </c>
      <c r="K9" s="11" t="s">
        <v>28</v>
      </c>
      <c r="L9" s="13" t="s">
        <v>29</v>
      </c>
      <c r="M9" s="14">
        <v>1908</v>
      </c>
      <c r="N9" s="3" t="s">
        <v>88</v>
      </c>
      <c r="O9">
        <v>36</v>
      </c>
      <c r="P9" t="s">
        <v>31</v>
      </c>
      <c r="Q9" t="s">
        <v>89</v>
      </c>
      <c r="R9" t="s">
        <v>92</v>
      </c>
    </row>
    <row r="10" spans="1:20" x14ac:dyDescent="0.25">
      <c r="A10" t="s">
        <v>93</v>
      </c>
      <c r="B10" s="10" t="s">
        <v>94</v>
      </c>
      <c r="C10" s="11" t="s">
        <v>95</v>
      </c>
      <c r="D10" s="11" t="s">
        <v>96</v>
      </c>
      <c r="E10" s="11" t="s">
        <v>89</v>
      </c>
      <c r="F10" s="11" t="s">
        <v>90</v>
      </c>
      <c r="G10" s="11" t="s">
        <v>97</v>
      </c>
      <c r="H10" s="12">
        <v>61582</v>
      </c>
      <c r="I10" s="11" t="s">
        <v>67</v>
      </c>
      <c r="J10" s="11" t="s">
        <v>42</v>
      </c>
      <c r="K10" s="11" t="s">
        <v>28</v>
      </c>
      <c r="L10" s="13" t="s">
        <v>29</v>
      </c>
      <c r="M10" s="14">
        <v>1921</v>
      </c>
      <c r="N10" s="3" t="s">
        <v>96</v>
      </c>
      <c r="O10">
        <v>36</v>
      </c>
      <c r="P10" t="s">
        <v>31</v>
      </c>
      <c r="Q10" t="s">
        <v>89</v>
      </c>
      <c r="R10" t="s">
        <v>92</v>
      </c>
    </row>
    <row r="11" spans="1:20" x14ac:dyDescent="0.25">
      <c r="A11" t="s">
        <v>98</v>
      </c>
      <c r="B11" s="10" t="s">
        <v>99</v>
      </c>
      <c r="C11" s="11" t="s">
        <v>100</v>
      </c>
      <c r="D11" s="11" t="s">
        <v>101</v>
      </c>
      <c r="E11" s="11" t="s">
        <v>98</v>
      </c>
      <c r="F11" s="11" t="s">
        <v>39</v>
      </c>
      <c r="G11" s="11" t="s">
        <v>102</v>
      </c>
      <c r="H11" s="12">
        <v>16068</v>
      </c>
      <c r="I11" s="11" t="s">
        <v>42</v>
      </c>
      <c r="J11" s="11" t="s">
        <v>27</v>
      </c>
      <c r="K11" s="11" t="s">
        <v>28</v>
      </c>
      <c r="L11" s="13" t="s">
        <v>29</v>
      </c>
      <c r="M11" s="14">
        <v>1912</v>
      </c>
      <c r="N11" s="3" t="s">
        <v>103</v>
      </c>
      <c r="O11">
        <v>34</v>
      </c>
      <c r="P11" t="s">
        <v>31</v>
      </c>
      <c r="Q11" t="s">
        <v>98</v>
      </c>
      <c r="R11" t="s">
        <v>44</v>
      </c>
    </row>
    <row r="12" spans="1:20" x14ac:dyDescent="0.25">
      <c r="A12" t="s">
        <v>104</v>
      </c>
      <c r="B12" s="10" t="s">
        <v>105</v>
      </c>
      <c r="C12" s="11" t="s">
        <v>106</v>
      </c>
      <c r="D12" s="11" t="s">
        <v>107</v>
      </c>
      <c r="E12" s="11" t="s">
        <v>108</v>
      </c>
      <c r="F12" s="11" t="s">
        <v>109</v>
      </c>
      <c r="G12" s="11" t="s">
        <v>110</v>
      </c>
      <c r="H12" s="12">
        <v>55662</v>
      </c>
      <c r="I12" s="11" t="s">
        <v>67</v>
      </c>
      <c r="J12" s="11" t="s">
        <v>27</v>
      </c>
      <c r="K12" s="11" t="s">
        <v>50</v>
      </c>
      <c r="L12" s="11" t="s">
        <v>42</v>
      </c>
      <c r="M12" s="14">
        <v>1903</v>
      </c>
      <c r="N12" s="3" t="s">
        <v>58</v>
      </c>
      <c r="O12">
        <v>34</v>
      </c>
      <c r="P12" t="s">
        <v>31</v>
      </c>
      <c r="Q12" t="s">
        <v>108</v>
      </c>
      <c r="R12" t="s">
        <v>111</v>
      </c>
    </row>
    <row r="13" spans="1:20" x14ac:dyDescent="0.25">
      <c r="A13" t="s">
        <v>112</v>
      </c>
      <c r="B13" s="10" t="s">
        <v>113</v>
      </c>
      <c r="C13" s="11" t="s">
        <v>114</v>
      </c>
      <c r="D13" s="11" t="s">
        <v>115</v>
      </c>
      <c r="E13" s="11" t="s">
        <v>112</v>
      </c>
      <c r="F13" s="11" t="s">
        <v>39</v>
      </c>
      <c r="G13" s="11" t="s">
        <v>116</v>
      </c>
      <c r="H13" s="12">
        <v>15000</v>
      </c>
      <c r="I13" s="11" t="s">
        <v>117</v>
      </c>
      <c r="J13" s="11" t="s">
        <v>41</v>
      </c>
      <c r="K13" s="11" t="s">
        <v>28</v>
      </c>
      <c r="L13" s="13" t="s">
        <v>29</v>
      </c>
      <c r="M13" s="14">
        <v>1925</v>
      </c>
      <c r="N13" s="3" t="s">
        <v>118</v>
      </c>
      <c r="O13">
        <v>32</v>
      </c>
      <c r="P13" t="s">
        <v>31</v>
      </c>
      <c r="Q13" t="s">
        <v>119</v>
      </c>
      <c r="R13" t="s">
        <v>44</v>
      </c>
    </row>
    <row r="14" spans="1:20" x14ac:dyDescent="0.25">
      <c r="A14" t="s">
        <v>120</v>
      </c>
      <c r="B14" s="10" t="s">
        <v>121</v>
      </c>
      <c r="C14" s="11" t="s">
        <v>122</v>
      </c>
      <c r="D14" s="11" t="s">
        <v>123</v>
      </c>
      <c r="E14" s="11" t="s">
        <v>124</v>
      </c>
      <c r="F14" s="11" t="s">
        <v>39</v>
      </c>
      <c r="G14" s="11" t="s">
        <v>125</v>
      </c>
      <c r="H14" s="12">
        <v>17128</v>
      </c>
      <c r="I14" s="11" t="s">
        <v>42</v>
      </c>
      <c r="J14" s="11" t="s">
        <v>26</v>
      </c>
      <c r="K14" s="11" t="s">
        <v>28</v>
      </c>
      <c r="L14" s="13" t="s">
        <v>29</v>
      </c>
      <c r="M14" s="14">
        <v>1928</v>
      </c>
      <c r="N14" s="3" t="s">
        <v>126</v>
      </c>
      <c r="O14">
        <v>30</v>
      </c>
      <c r="P14" t="s">
        <v>31</v>
      </c>
      <c r="Q14" t="s">
        <v>127</v>
      </c>
      <c r="R14" t="s">
        <v>44</v>
      </c>
    </row>
    <row r="15" spans="1:20" x14ac:dyDescent="0.25">
      <c r="A15" t="s">
        <v>128</v>
      </c>
      <c r="B15" s="10" t="s">
        <v>129</v>
      </c>
      <c r="C15" s="11" t="s">
        <v>130</v>
      </c>
      <c r="D15" s="11" t="s">
        <v>131</v>
      </c>
      <c r="E15" s="11" t="s">
        <v>132</v>
      </c>
      <c r="F15" s="11" t="s">
        <v>133</v>
      </c>
      <c r="G15" s="11" t="s">
        <v>134</v>
      </c>
      <c r="H15" s="12">
        <v>42372</v>
      </c>
      <c r="I15" s="11" t="s">
        <v>26</v>
      </c>
      <c r="J15" s="11" t="s">
        <v>27</v>
      </c>
      <c r="K15" s="11" t="s">
        <v>28</v>
      </c>
      <c r="L15" s="13" t="s">
        <v>29</v>
      </c>
      <c r="M15" s="14">
        <v>1924</v>
      </c>
      <c r="N15" s="3" t="s">
        <v>131</v>
      </c>
      <c r="O15">
        <v>30</v>
      </c>
      <c r="P15" t="s">
        <v>31</v>
      </c>
      <c r="Q15" t="s">
        <v>132</v>
      </c>
      <c r="R15" t="s">
        <v>135</v>
      </c>
    </row>
    <row r="16" spans="1:20" x14ac:dyDescent="0.25">
      <c r="A16" t="s">
        <v>136</v>
      </c>
      <c r="B16" s="10" t="s">
        <v>137</v>
      </c>
      <c r="C16" s="11" t="s">
        <v>138</v>
      </c>
      <c r="D16" s="11" t="s">
        <v>139</v>
      </c>
      <c r="E16" s="11" t="s">
        <v>23</v>
      </c>
      <c r="F16" s="11" t="s">
        <v>24</v>
      </c>
      <c r="G16" s="11" t="s">
        <v>140</v>
      </c>
      <c r="H16" s="12">
        <v>21880</v>
      </c>
      <c r="I16" s="11" t="s">
        <v>27</v>
      </c>
      <c r="J16" s="11" t="s">
        <v>42</v>
      </c>
      <c r="K16" s="11" t="s">
        <v>28</v>
      </c>
      <c r="L16" s="13" t="s">
        <v>29</v>
      </c>
      <c r="M16" s="14">
        <v>1898</v>
      </c>
      <c r="N16" s="3" t="s">
        <v>141</v>
      </c>
      <c r="O16">
        <v>30</v>
      </c>
      <c r="P16" t="s">
        <v>31</v>
      </c>
      <c r="Q16" t="s">
        <v>23</v>
      </c>
      <c r="R16" t="s">
        <v>32</v>
      </c>
    </row>
    <row r="17" spans="1:18" x14ac:dyDescent="0.25">
      <c r="A17" t="s">
        <v>142</v>
      </c>
      <c r="B17" s="10" t="s">
        <v>143</v>
      </c>
      <c r="C17" s="11" t="s">
        <v>144</v>
      </c>
      <c r="D17" s="11" t="s">
        <v>145</v>
      </c>
      <c r="E17" s="11" t="s">
        <v>108</v>
      </c>
      <c r="F17" s="11" t="s">
        <v>109</v>
      </c>
      <c r="G17" s="11" t="s">
        <v>146</v>
      </c>
      <c r="H17" s="12">
        <v>50128</v>
      </c>
      <c r="I17" s="11" t="s">
        <v>26</v>
      </c>
      <c r="J17" s="11" t="s">
        <v>42</v>
      </c>
      <c r="K17" s="11" t="s">
        <v>28</v>
      </c>
      <c r="L17" s="13" t="s">
        <v>29</v>
      </c>
      <c r="M17" s="14">
        <v>1909</v>
      </c>
      <c r="N17" s="3" t="s">
        <v>147</v>
      </c>
      <c r="O17">
        <v>30</v>
      </c>
      <c r="P17" t="s">
        <v>31</v>
      </c>
      <c r="Q17" t="s">
        <v>108</v>
      </c>
      <c r="R17" t="s">
        <v>111</v>
      </c>
    </row>
    <row r="18" spans="1:18" x14ac:dyDescent="0.25">
      <c r="A18" t="s">
        <v>148</v>
      </c>
      <c r="B18" s="10" t="s">
        <v>149</v>
      </c>
      <c r="C18" s="11" t="s">
        <v>150</v>
      </c>
      <c r="D18" s="11" t="s">
        <v>151</v>
      </c>
      <c r="E18" s="11" t="s">
        <v>152</v>
      </c>
      <c r="F18" s="11" t="s">
        <v>153</v>
      </c>
      <c r="G18" s="11" t="s">
        <v>154</v>
      </c>
      <c r="H18" s="12">
        <v>20089</v>
      </c>
      <c r="I18" s="11" t="s">
        <v>41</v>
      </c>
      <c r="J18" s="11" t="s">
        <v>42</v>
      </c>
      <c r="K18" s="11" t="s">
        <v>28</v>
      </c>
      <c r="L18" s="13" t="s">
        <v>29</v>
      </c>
      <c r="M18" s="14">
        <v>1973</v>
      </c>
      <c r="N18" s="3" t="s">
        <v>155</v>
      </c>
      <c r="O18">
        <v>28</v>
      </c>
      <c r="P18" t="s">
        <v>31</v>
      </c>
      <c r="Q18" t="s">
        <v>156</v>
      </c>
      <c r="R18" t="s">
        <v>157</v>
      </c>
    </row>
    <row r="19" spans="1:18" x14ac:dyDescent="0.25">
      <c r="A19" t="s">
        <v>158</v>
      </c>
      <c r="B19" s="10" t="s">
        <v>159</v>
      </c>
      <c r="C19" s="11" t="s">
        <v>160</v>
      </c>
      <c r="D19" s="11" t="s">
        <v>161</v>
      </c>
      <c r="E19" s="11" t="s">
        <v>132</v>
      </c>
      <c r="F19" s="11" t="s">
        <v>133</v>
      </c>
      <c r="G19" s="11" t="s">
        <v>162</v>
      </c>
      <c r="H19" s="12">
        <v>40502</v>
      </c>
      <c r="I19" s="11" t="s">
        <v>42</v>
      </c>
      <c r="J19" s="11" t="s">
        <v>41</v>
      </c>
      <c r="K19" s="11" t="s">
        <v>28</v>
      </c>
      <c r="L19" s="13" t="s">
        <v>29</v>
      </c>
      <c r="M19" s="14">
        <v>1909</v>
      </c>
      <c r="N19" s="3" t="s">
        <v>163</v>
      </c>
      <c r="O19">
        <v>28</v>
      </c>
      <c r="P19" t="s">
        <v>31</v>
      </c>
      <c r="Q19" t="s">
        <v>132</v>
      </c>
      <c r="R19" t="s">
        <v>135</v>
      </c>
    </row>
    <row r="20" spans="1:18" x14ac:dyDescent="0.25">
      <c r="A20" t="s">
        <v>164</v>
      </c>
      <c r="B20" s="10" t="s">
        <v>165</v>
      </c>
      <c r="C20" s="11" t="s">
        <v>166</v>
      </c>
      <c r="D20" s="11" t="s">
        <v>167</v>
      </c>
      <c r="E20" s="11" t="s">
        <v>64</v>
      </c>
      <c r="F20" s="11" t="s">
        <v>65</v>
      </c>
      <c r="G20" s="11" t="s">
        <v>168</v>
      </c>
      <c r="H20" s="12">
        <v>30000</v>
      </c>
      <c r="I20" s="11" t="s">
        <v>26</v>
      </c>
      <c r="J20" s="11" t="s">
        <v>27</v>
      </c>
      <c r="K20" s="11" t="s">
        <v>28</v>
      </c>
      <c r="L20" s="13" t="s">
        <v>29</v>
      </c>
      <c r="M20" s="14">
        <v>1899</v>
      </c>
      <c r="N20" s="3" t="s">
        <v>118</v>
      </c>
      <c r="O20">
        <v>28</v>
      </c>
      <c r="P20" t="s">
        <v>31</v>
      </c>
      <c r="Q20" t="s">
        <v>60</v>
      </c>
      <c r="R20" t="s">
        <v>69</v>
      </c>
    </row>
    <row r="21" spans="1:18" x14ac:dyDescent="0.25">
      <c r="A21" t="s">
        <v>169</v>
      </c>
      <c r="B21" s="10" t="s">
        <v>170</v>
      </c>
      <c r="C21" s="11" t="s">
        <v>171</v>
      </c>
      <c r="D21" s="11" t="s">
        <v>172</v>
      </c>
      <c r="E21" s="11" t="s">
        <v>173</v>
      </c>
      <c r="F21" s="11" t="s">
        <v>174</v>
      </c>
      <c r="G21" s="11" t="s">
        <v>175</v>
      </c>
      <c r="H21" s="12">
        <v>13792</v>
      </c>
      <c r="I21" s="11" t="s">
        <v>176</v>
      </c>
      <c r="J21" s="11" t="s">
        <v>42</v>
      </c>
      <c r="K21" s="11" t="s">
        <v>28</v>
      </c>
      <c r="L21" s="13" t="s">
        <v>29</v>
      </c>
      <c r="M21" s="14">
        <v>1905</v>
      </c>
      <c r="N21" s="3" t="s">
        <v>118</v>
      </c>
      <c r="O21">
        <v>24</v>
      </c>
      <c r="P21" t="s">
        <v>31</v>
      </c>
      <c r="Q21" t="s">
        <v>173</v>
      </c>
      <c r="R21" t="s">
        <v>177</v>
      </c>
    </row>
    <row r="22" spans="1:18" x14ac:dyDescent="0.25">
      <c r="A22" t="s">
        <v>178</v>
      </c>
      <c r="B22" s="10" t="s">
        <v>179</v>
      </c>
      <c r="C22" s="11" t="s">
        <v>180</v>
      </c>
      <c r="D22" s="11" t="s">
        <v>181</v>
      </c>
      <c r="E22" s="11" t="s">
        <v>178</v>
      </c>
      <c r="F22" s="11" t="s">
        <v>182</v>
      </c>
      <c r="G22" s="11" t="s">
        <v>183</v>
      </c>
      <c r="H22" s="12">
        <v>63903</v>
      </c>
      <c r="I22" s="11" t="s">
        <v>67</v>
      </c>
      <c r="J22" s="11" t="s">
        <v>26</v>
      </c>
      <c r="K22" s="11" t="s">
        <v>50</v>
      </c>
      <c r="L22" s="11" t="s">
        <v>42</v>
      </c>
      <c r="M22" s="14">
        <v>1918</v>
      </c>
      <c r="N22" s="3" t="s">
        <v>118</v>
      </c>
      <c r="O22">
        <v>24</v>
      </c>
      <c r="P22" t="s">
        <v>184</v>
      </c>
      <c r="Q22" t="s">
        <v>178</v>
      </c>
      <c r="R22" t="s">
        <v>69</v>
      </c>
    </row>
    <row r="23" spans="1:18" x14ac:dyDescent="0.25">
      <c r="A23" t="s">
        <v>185</v>
      </c>
      <c r="B23" s="10" t="s">
        <v>186</v>
      </c>
      <c r="C23" s="11" t="s">
        <v>187</v>
      </c>
      <c r="D23" s="11" t="s">
        <v>188</v>
      </c>
      <c r="E23" s="11" t="s">
        <v>178</v>
      </c>
      <c r="F23" s="11" t="s">
        <v>182</v>
      </c>
      <c r="G23" s="11" t="s">
        <v>183</v>
      </c>
      <c r="H23" s="12">
        <v>63903</v>
      </c>
      <c r="I23" s="11" t="s">
        <v>27</v>
      </c>
      <c r="J23" s="11" t="s">
        <v>42</v>
      </c>
      <c r="K23" s="11" t="s">
        <v>28</v>
      </c>
      <c r="L23" s="13" t="s">
        <v>29</v>
      </c>
      <c r="M23" s="14">
        <v>1914</v>
      </c>
      <c r="N23" s="3" t="s">
        <v>189</v>
      </c>
      <c r="O23">
        <v>22</v>
      </c>
      <c r="P23" t="s">
        <v>184</v>
      </c>
      <c r="Q23" t="s">
        <v>178</v>
      </c>
      <c r="R23" t="s">
        <v>69</v>
      </c>
    </row>
    <row r="24" spans="1:18" x14ac:dyDescent="0.25">
      <c r="A24" t="s">
        <v>190</v>
      </c>
      <c r="B24" s="10" t="s">
        <v>191</v>
      </c>
      <c r="C24" s="11" t="s">
        <v>192</v>
      </c>
      <c r="D24" s="11" t="s">
        <v>193</v>
      </c>
      <c r="E24" s="11" t="s">
        <v>194</v>
      </c>
      <c r="F24" s="11" t="s">
        <v>109</v>
      </c>
      <c r="G24" s="11" t="s">
        <v>195</v>
      </c>
      <c r="H24" s="12">
        <v>19924</v>
      </c>
      <c r="I24" s="11" t="s">
        <v>41</v>
      </c>
      <c r="J24" s="11" t="s">
        <v>42</v>
      </c>
      <c r="K24" s="11" t="s">
        <v>28</v>
      </c>
      <c r="L24" s="13" t="s">
        <v>29</v>
      </c>
      <c r="M24" s="14">
        <v>1913</v>
      </c>
      <c r="N24" s="3" t="s">
        <v>196</v>
      </c>
      <c r="O24">
        <v>22</v>
      </c>
      <c r="P24" t="s">
        <v>184</v>
      </c>
      <c r="Q24" t="s">
        <v>197</v>
      </c>
      <c r="R24" t="s">
        <v>111</v>
      </c>
    </row>
    <row r="25" spans="1:18" x14ac:dyDescent="0.25">
      <c r="A25" t="s">
        <v>198</v>
      </c>
      <c r="B25" s="10" t="s">
        <v>199</v>
      </c>
      <c r="C25" s="11" t="s">
        <v>200</v>
      </c>
      <c r="D25" s="11" t="s">
        <v>201</v>
      </c>
      <c r="E25" s="11" t="s">
        <v>202</v>
      </c>
      <c r="F25" s="11" t="s">
        <v>203</v>
      </c>
      <c r="G25" s="11" t="s">
        <v>204</v>
      </c>
      <c r="H25" s="12">
        <v>14525</v>
      </c>
      <c r="I25" s="11" t="s">
        <v>41</v>
      </c>
      <c r="J25" s="11" t="s">
        <v>42</v>
      </c>
      <c r="K25" s="11" t="s">
        <v>28</v>
      </c>
      <c r="L25" s="13" t="s">
        <v>29</v>
      </c>
      <c r="M25" s="14">
        <v>1943</v>
      </c>
      <c r="N25" s="3" t="s">
        <v>196</v>
      </c>
      <c r="O25">
        <v>22</v>
      </c>
      <c r="P25" t="s">
        <v>184</v>
      </c>
      <c r="Q25" t="s">
        <v>202</v>
      </c>
      <c r="R25" t="s">
        <v>205</v>
      </c>
    </row>
    <row r="26" spans="1:18" x14ac:dyDescent="0.25">
      <c r="A26" t="s">
        <v>206</v>
      </c>
      <c r="B26" s="10" t="s">
        <v>207</v>
      </c>
      <c r="C26" s="11" t="s">
        <v>208</v>
      </c>
      <c r="D26" s="11" t="s">
        <v>209</v>
      </c>
      <c r="E26" s="11" t="s">
        <v>210</v>
      </c>
      <c r="F26" s="11" t="s">
        <v>211</v>
      </c>
      <c r="G26" s="11" t="s">
        <v>212</v>
      </c>
      <c r="H26" s="12">
        <v>26418</v>
      </c>
      <c r="I26" s="11" t="s">
        <v>26</v>
      </c>
      <c r="J26" s="11" t="s">
        <v>27</v>
      </c>
      <c r="K26" s="11" t="s">
        <v>28</v>
      </c>
      <c r="L26" s="13" t="s">
        <v>29</v>
      </c>
      <c r="M26" s="14">
        <v>1905</v>
      </c>
      <c r="N26" s="3" t="s">
        <v>118</v>
      </c>
      <c r="O26">
        <v>22</v>
      </c>
      <c r="P26" t="s">
        <v>184</v>
      </c>
      <c r="Q26" t="s">
        <v>210</v>
      </c>
      <c r="R26" t="s">
        <v>69</v>
      </c>
    </row>
    <row r="27" spans="1:18" x14ac:dyDescent="0.25">
      <c r="A27" t="s">
        <v>213</v>
      </c>
      <c r="B27" s="10" t="s">
        <v>214</v>
      </c>
      <c r="C27" s="11" t="s">
        <v>215</v>
      </c>
      <c r="D27" s="11" t="s">
        <v>216</v>
      </c>
      <c r="E27" s="11" t="s">
        <v>202</v>
      </c>
      <c r="F27" s="11" t="s">
        <v>203</v>
      </c>
      <c r="G27" s="11" t="s">
        <v>217</v>
      </c>
      <c r="H27" s="12">
        <v>12500</v>
      </c>
      <c r="I27" s="11" t="s">
        <v>26</v>
      </c>
      <c r="J27" s="11" t="s">
        <v>27</v>
      </c>
      <c r="K27" s="11" t="s">
        <v>28</v>
      </c>
      <c r="L27" s="13" t="s">
        <v>29</v>
      </c>
      <c r="M27" s="14">
        <v>1937</v>
      </c>
      <c r="N27" s="3" t="s">
        <v>216</v>
      </c>
      <c r="O27">
        <v>20</v>
      </c>
      <c r="P27" t="s">
        <v>184</v>
      </c>
      <c r="Q27" t="s">
        <v>202</v>
      </c>
      <c r="R27" t="s">
        <v>205</v>
      </c>
    </row>
    <row r="28" spans="1:18" x14ac:dyDescent="0.25">
      <c r="A28" t="s">
        <v>218</v>
      </c>
      <c r="B28" s="10" t="s">
        <v>219</v>
      </c>
      <c r="C28" s="11" t="s">
        <v>220</v>
      </c>
      <c r="D28" s="11" t="s">
        <v>221</v>
      </c>
      <c r="E28" s="11" t="s">
        <v>89</v>
      </c>
      <c r="F28" s="11" t="s">
        <v>90</v>
      </c>
      <c r="G28" s="11" t="s">
        <v>222</v>
      </c>
      <c r="H28" s="12">
        <v>23018</v>
      </c>
      <c r="I28" s="11" t="s">
        <v>41</v>
      </c>
      <c r="J28" s="11" t="s">
        <v>27</v>
      </c>
      <c r="K28" s="11" t="s">
        <v>50</v>
      </c>
      <c r="L28" s="11" t="s">
        <v>42</v>
      </c>
      <c r="M28" s="14">
        <v>1912</v>
      </c>
      <c r="N28" s="3" t="s">
        <v>221</v>
      </c>
      <c r="O28">
        <v>20</v>
      </c>
      <c r="P28" t="s">
        <v>184</v>
      </c>
      <c r="Q28" t="s">
        <v>89</v>
      </c>
      <c r="R28" t="s">
        <v>92</v>
      </c>
    </row>
    <row r="29" spans="1:18" x14ac:dyDescent="0.25">
      <c r="A29" t="s">
        <v>223</v>
      </c>
      <c r="B29" s="10" t="s">
        <v>224</v>
      </c>
      <c r="C29" s="11" t="s">
        <v>95</v>
      </c>
      <c r="D29" s="11" t="s">
        <v>225</v>
      </c>
      <c r="E29" s="11" t="s">
        <v>223</v>
      </c>
      <c r="F29" s="11" t="s">
        <v>226</v>
      </c>
      <c r="G29" s="11" t="s">
        <v>227</v>
      </c>
      <c r="H29" s="12">
        <v>44000</v>
      </c>
      <c r="I29" s="11" t="s">
        <v>41</v>
      </c>
      <c r="J29" s="11" t="s">
        <v>117</v>
      </c>
      <c r="K29" s="11" t="s">
        <v>28</v>
      </c>
      <c r="L29" s="13" t="s">
        <v>29</v>
      </c>
      <c r="M29" s="14">
        <v>2001</v>
      </c>
      <c r="N29" s="3" t="s">
        <v>225</v>
      </c>
      <c r="O29">
        <v>20</v>
      </c>
      <c r="P29" t="s">
        <v>184</v>
      </c>
      <c r="Q29" t="s">
        <v>228</v>
      </c>
      <c r="R29" t="s">
        <v>205</v>
      </c>
    </row>
    <row r="30" spans="1:18" x14ac:dyDescent="0.25">
      <c r="A30" t="s">
        <v>229</v>
      </c>
      <c r="B30" s="10" t="s">
        <v>230</v>
      </c>
      <c r="C30" s="11" t="s">
        <v>231</v>
      </c>
      <c r="D30" s="11" t="s">
        <v>232</v>
      </c>
      <c r="E30" s="11" t="s">
        <v>233</v>
      </c>
      <c r="F30" s="11" t="s">
        <v>39</v>
      </c>
      <c r="G30" s="11" t="s">
        <v>234</v>
      </c>
      <c r="H30" s="12">
        <v>16000</v>
      </c>
      <c r="I30" s="11" t="s">
        <v>117</v>
      </c>
      <c r="J30" s="11" t="s">
        <v>27</v>
      </c>
      <c r="K30" s="11" t="s">
        <v>28</v>
      </c>
      <c r="L30" s="13" t="s">
        <v>29</v>
      </c>
      <c r="M30" s="14">
        <v>2010</v>
      </c>
      <c r="N30" s="3" t="s">
        <v>235</v>
      </c>
      <c r="O30">
        <v>20</v>
      </c>
      <c r="P30" t="s">
        <v>184</v>
      </c>
      <c r="Q30" t="s">
        <v>119</v>
      </c>
      <c r="R30" t="s">
        <v>44</v>
      </c>
    </row>
    <row r="31" spans="1:18" x14ac:dyDescent="0.25">
      <c r="A31" t="s">
        <v>236</v>
      </c>
      <c r="B31" s="10" t="s">
        <v>237</v>
      </c>
      <c r="C31" s="11" t="s">
        <v>95</v>
      </c>
      <c r="D31" s="11" t="s">
        <v>235</v>
      </c>
      <c r="E31" s="11" t="s">
        <v>236</v>
      </c>
      <c r="F31" s="11" t="s">
        <v>153</v>
      </c>
      <c r="G31" s="11" t="s">
        <v>238</v>
      </c>
      <c r="H31" s="12">
        <v>19225</v>
      </c>
      <c r="I31" s="11" t="s">
        <v>117</v>
      </c>
      <c r="J31" s="11" t="s">
        <v>27</v>
      </c>
      <c r="K31" s="11" t="s">
        <v>50</v>
      </c>
      <c r="L31" s="11" t="s">
        <v>42</v>
      </c>
      <c r="M31" s="14">
        <v>1947</v>
      </c>
      <c r="N31" s="3" t="s">
        <v>235</v>
      </c>
      <c r="O31">
        <v>18</v>
      </c>
      <c r="P31" t="s">
        <v>184</v>
      </c>
      <c r="Q31" t="s">
        <v>156</v>
      </c>
      <c r="R31" t="s">
        <v>157</v>
      </c>
    </row>
    <row r="32" spans="1:18" x14ac:dyDescent="0.25">
      <c r="A32" t="s">
        <v>239</v>
      </c>
      <c r="B32" s="10" t="s">
        <v>240</v>
      </c>
      <c r="C32" s="11" t="s">
        <v>241</v>
      </c>
      <c r="D32" s="11" t="s">
        <v>242</v>
      </c>
      <c r="E32" s="11" t="s">
        <v>239</v>
      </c>
      <c r="F32" s="11" t="s">
        <v>133</v>
      </c>
      <c r="G32" s="11" t="s">
        <v>243</v>
      </c>
      <c r="H32" s="12">
        <v>31000</v>
      </c>
      <c r="I32" s="11" t="s">
        <v>67</v>
      </c>
      <c r="J32" s="11" t="s">
        <v>42</v>
      </c>
      <c r="K32" s="11" t="s">
        <v>28</v>
      </c>
      <c r="L32" s="13" t="s">
        <v>29</v>
      </c>
      <c r="M32" s="14">
        <v>1956</v>
      </c>
      <c r="N32" s="3" t="s">
        <v>242</v>
      </c>
      <c r="O32">
        <v>18</v>
      </c>
      <c r="P32" t="s">
        <v>184</v>
      </c>
      <c r="Q32" t="s">
        <v>244</v>
      </c>
      <c r="R32" t="s">
        <v>135</v>
      </c>
    </row>
    <row r="33" spans="1:18" x14ac:dyDescent="0.25">
      <c r="A33" t="s">
        <v>245</v>
      </c>
      <c r="B33" s="10" t="s">
        <v>246</v>
      </c>
      <c r="C33" s="11" t="s">
        <v>220</v>
      </c>
      <c r="D33" s="11" t="s">
        <v>209</v>
      </c>
      <c r="E33" s="11" t="s">
        <v>247</v>
      </c>
      <c r="F33" s="11" t="s">
        <v>153</v>
      </c>
      <c r="G33" s="11" t="s">
        <v>248</v>
      </c>
      <c r="H33" s="12">
        <v>17800</v>
      </c>
      <c r="I33" s="11" t="s">
        <v>67</v>
      </c>
      <c r="J33" s="11" t="s">
        <v>42</v>
      </c>
      <c r="K33" s="11" t="s">
        <v>28</v>
      </c>
      <c r="L33" s="13" t="s">
        <v>29</v>
      </c>
      <c r="M33" s="14">
        <v>1923</v>
      </c>
      <c r="N33" s="3" t="s">
        <v>118</v>
      </c>
      <c r="O33">
        <v>16</v>
      </c>
      <c r="P33" t="s">
        <v>184</v>
      </c>
      <c r="Q33" t="s">
        <v>249</v>
      </c>
      <c r="R33" t="s">
        <v>157</v>
      </c>
    </row>
    <row r="34" spans="1:18" x14ac:dyDescent="0.25">
      <c r="A34" t="s">
        <v>250</v>
      </c>
      <c r="B34" s="10" t="s">
        <v>251</v>
      </c>
      <c r="C34" s="11" t="s">
        <v>250</v>
      </c>
      <c r="D34" s="11" t="s">
        <v>252</v>
      </c>
      <c r="E34" s="11" t="s">
        <v>253</v>
      </c>
      <c r="F34" s="11" t="s">
        <v>254</v>
      </c>
      <c r="G34" s="11" t="s">
        <v>255</v>
      </c>
      <c r="H34" s="12">
        <v>19105</v>
      </c>
      <c r="I34" s="11" t="s">
        <v>26</v>
      </c>
      <c r="J34" s="11" t="s">
        <v>42</v>
      </c>
      <c r="K34" s="11" t="s">
        <v>28</v>
      </c>
      <c r="L34" s="13" t="s">
        <v>29</v>
      </c>
      <c r="M34" s="14">
        <v>1912</v>
      </c>
      <c r="N34" s="3" t="s">
        <v>256</v>
      </c>
      <c r="O34">
        <v>16</v>
      </c>
      <c r="P34" t="s">
        <v>184</v>
      </c>
      <c r="Q34" t="s">
        <v>257</v>
      </c>
      <c r="R34" t="s">
        <v>69</v>
      </c>
    </row>
    <row r="35" spans="1:18" x14ac:dyDescent="0.25">
      <c r="A35" t="s">
        <v>258</v>
      </c>
      <c r="B35" s="10" t="s">
        <v>259</v>
      </c>
      <c r="C35" s="11" t="s">
        <v>260</v>
      </c>
      <c r="D35" s="11" t="s">
        <v>261</v>
      </c>
      <c r="E35" s="11" t="s">
        <v>210</v>
      </c>
      <c r="F35" s="11" t="s">
        <v>211</v>
      </c>
      <c r="G35" s="11" t="s">
        <v>262</v>
      </c>
      <c r="H35" s="12">
        <v>19800</v>
      </c>
      <c r="I35" s="11" t="s">
        <v>26</v>
      </c>
      <c r="J35" s="11" t="s">
        <v>42</v>
      </c>
      <c r="K35" s="11" t="s">
        <v>28</v>
      </c>
      <c r="L35" s="13" t="s">
        <v>29</v>
      </c>
      <c r="M35" s="14">
        <v>1901</v>
      </c>
      <c r="N35" s="3" t="s">
        <v>261</v>
      </c>
      <c r="O35">
        <v>16</v>
      </c>
      <c r="P35" t="s">
        <v>184</v>
      </c>
      <c r="Q35" t="s">
        <v>210</v>
      </c>
      <c r="R35" t="s">
        <v>69</v>
      </c>
    </row>
    <row r="36" spans="1:18" x14ac:dyDescent="0.25">
      <c r="A36" t="s">
        <v>263</v>
      </c>
      <c r="B36" s="10" t="s">
        <v>264</v>
      </c>
      <c r="C36" s="11" t="s">
        <v>265</v>
      </c>
      <c r="D36" s="11" t="s">
        <v>235</v>
      </c>
      <c r="E36" s="11" t="s">
        <v>202</v>
      </c>
      <c r="F36" s="11" t="s">
        <v>203</v>
      </c>
      <c r="G36" s="11" t="s">
        <v>266</v>
      </c>
      <c r="H36" s="12">
        <v>11788</v>
      </c>
      <c r="I36" s="11" t="s">
        <v>26</v>
      </c>
      <c r="J36" s="11" t="s">
        <v>42</v>
      </c>
      <c r="K36" s="11" t="s">
        <v>28</v>
      </c>
      <c r="L36" s="13" t="s">
        <v>29</v>
      </c>
      <c r="M36" s="14">
        <v>1943</v>
      </c>
      <c r="N36" s="3" t="s">
        <v>235</v>
      </c>
      <c r="O36">
        <v>16</v>
      </c>
      <c r="P36" t="s">
        <v>184</v>
      </c>
      <c r="Q36" t="s">
        <v>202</v>
      </c>
      <c r="R36" t="s">
        <v>205</v>
      </c>
    </row>
    <row r="37" spans="1:18" x14ac:dyDescent="0.25">
      <c r="A37" t="s">
        <v>267</v>
      </c>
      <c r="B37" s="10" t="s">
        <v>268</v>
      </c>
      <c r="C37" s="11" t="s">
        <v>269</v>
      </c>
      <c r="D37" s="11" t="s">
        <v>270</v>
      </c>
      <c r="E37" s="11" t="s">
        <v>271</v>
      </c>
      <c r="F37" s="11" t="s">
        <v>39</v>
      </c>
      <c r="G37" s="11" t="s">
        <v>272</v>
      </c>
      <c r="H37" s="12">
        <v>17728</v>
      </c>
      <c r="I37" s="11" t="s">
        <v>42</v>
      </c>
      <c r="J37" s="11" t="s">
        <v>27</v>
      </c>
      <c r="K37" s="11" t="s">
        <v>28</v>
      </c>
      <c r="L37" s="13" t="s">
        <v>29</v>
      </c>
      <c r="M37" s="14">
        <v>1900</v>
      </c>
      <c r="N37" s="3" t="s">
        <v>270</v>
      </c>
      <c r="O37">
        <v>14</v>
      </c>
      <c r="P37" t="s">
        <v>184</v>
      </c>
      <c r="Q37" t="s">
        <v>127</v>
      </c>
      <c r="R37" t="s">
        <v>44</v>
      </c>
    </row>
    <row r="38" spans="1:18" x14ac:dyDescent="0.25">
      <c r="A38" t="s">
        <v>273</v>
      </c>
      <c r="B38" s="10" t="s">
        <v>274</v>
      </c>
      <c r="C38" s="11" t="s">
        <v>275</v>
      </c>
      <c r="D38" s="11" t="s">
        <v>63</v>
      </c>
      <c r="E38" s="11" t="s">
        <v>276</v>
      </c>
      <c r="F38" s="11" t="s">
        <v>90</v>
      </c>
      <c r="G38" s="11" t="s">
        <v>277</v>
      </c>
      <c r="H38" s="12">
        <v>2303</v>
      </c>
      <c r="I38" s="11" t="s">
        <v>27</v>
      </c>
      <c r="J38" s="11" t="s">
        <v>42</v>
      </c>
      <c r="K38" s="11" t="s">
        <v>28</v>
      </c>
      <c r="L38" s="13" t="s">
        <v>29</v>
      </c>
      <c r="M38" s="14">
        <v>1909</v>
      </c>
      <c r="N38" s="3" t="s">
        <v>76</v>
      </c>
      <c r="O38">
        <v>14</v>
      </c>
      <c r="P38" t="s">
        <v>184</v>
      </c>
      <c r="Q38" t="s">
        <v>278</v>
      </c>
      <c r="R38" t="s">
        <v>92</v>
      </c>
    </row>
    <row r="39" spans="1:18" x14ac:dyDescent="0.25">
      <c r="A39" t="s">
        <v>279</v>
      </c>
      <c r="B39" s="10" t="s">
        <v>280</v>
      </c>
      <c r="C39" s="11" t="s">
        <v>281</v>
      </c>
      <c r="D39" s="11" t="s">
        <v>282</v>
      </c>
      <c r="E39" s="11" t="s">
        <v>283</v>
      </c>
      <c r="F39" s="11" t="s">
        <v>39</v>
      </c>
      <c r="G39" s="11" t="s">
        <v>284</v>
      </c>
      <c r="H39" s="12">
        <v>29292</v>
      </c>
      <c r="I39" s="11" t="s">
        <v>26</v>
      </c>
      <c r="J39" s="11" t="s">
        <v>42</v>
      </c>
      <c r="K39" s="11" t="s">
        <v>50</v>
      </c>
      <c r="L39" s="11" t="s">
        <v>27</v>
      </c>
      <c r="M39" s="14">
        <v>1918</v>
      </c>
      <c r="N39" s="3" t="s">
        <v>282</v>
      </c>
      <c r="O39">
        <v>14</v>
      </c>
      <c r="P39" t="s">
        <v>184</v>
      </c>
      <c r="Q39" t="s">
        <v>119</v>
      </c>
      <c r="R39" t="s">
        <v>44</v>
      </c>
    </row>
    <row r="40" spans="1:18" x14ac:dyDescent="0.25">
      <c r="A40" t="s">
        <v>285</v>
      </c>
      <c r="B40" s="10" t="s">
        <v>286</v>
      </c>
      <c r="C40" s="11" t="s">
        <v>287</v>
      </c>
      <c r="D40" s="11" t="s">
        <v>288</v>
      </c>
      <c r="E40" s="11" t="s">
        <v>289</v>
      </c>
      <c r="F40" s="11" t="s">
        <v>133</v>
      </c>
      <c r="G40" s="11" t="s">
        <v>290</v>
      </c>
      <c r="H40" s="12">
        <v>10632</v>
      </c>
      <c r="I40" s="11" t="s">
        <v>27</v>
      </c>
      <c r="J40" s="11" t="s">
        <v>42</v>
      </c>
      <c r="K40" s="11" t="s">
        <v>28</v>
      </c>
      <c r="L40" s="13" t="s">
        <v>29</v>
      </c>
      <c r="M40" s="14">
        <v>1912</v>
      </c>
      <c r="N40" s="3" t="s">
        <v>288</v>
      </c>
      <c r="O40">
        <v>14</v>
      </c>
      <c r="P40" t="s">
        <v>184</v>
      </c>
      <c r="Q40" t="s">
        <v>244</v>
      </c>
      <c r="R40" t="s">
        <v>135</v>
      </c>
    </row>
    <row r="41" spans="1:18" x14ac:dyDescent="0.25">
      <c r="A41" t="s">
        <v>291</v>
      </c>
      <c r="B41" s="10" t="s">
        <v>292</v>
      </c>
      <c r="C41" s="11" t="s">
        <v>293</v>
      </c>
      <c r="D41" s="11" t="s">
        <v>294</v>
      </c>
      <c r="E41" s="11" t="s">
        <v>295</v>
      </c>
      <c r="F41" s="11" t="s">
        <v>39</v>
      </c>
      <c r="G41" s="11" t="s">
        <v>296</v>
      </c>
      <c r="H41" s="12">
        <v>15789</v>
      </c>
      <c r="I41" s="11" t="s">
        <v>117</v>
      </c>
      <c r="J41" s="11" t="s">
        <v>27</v>
      </c>
      <c r="K41" s="11" t="s">
        <v>28</v>
      </c>
      <c r="L41" s="13" t="s">
        <v>29</v>
      </c>
      <c r="M41" s="14">
        <v>2004</v>
      </c>
      <c r="N41" s="3" t="s">
        <v>297</v>
      </c>
      <c r="O41">
        <v>14</v>
      </c>
      <c r="P41" t="s">
        <v>184</v>
      </c>
      <c r="Q41" t="s">
        <v>298</v>
      </c>
      <c r="R41" t="s">
        <v>44</v>
      </c>
    </row>
    <row r="42" spans="1:18" x14ac:dyDescent="0.25">
      <c r="A42" t="s">
        <v>299</v>
      </c>
      <c r="B42" s="10" t="s">
        <v>280</v>
      </c>
      <c r="C42" s="11" t="s">
        <v>281</v>
      </c>
      <c r="D42" s="11" t="s">
        <v>300</v>
      </c>
      <c r="E42" s="11" t="s">
        <v>301</v>
      </c>
      <c r="F42" s="11" t="s">
        <v>302</v>
      </c>
      <c r="G42" s="11" t="s">
        <v>303</v>
      </c>
      <c r="H42" s="12">
        <v>25770</v>
      </c>
      <c r="I42" s="11" t="s">
        <v>27</v>
      </c>
      <c r="J42" s="11" t="s">
        <v>42</v>
      </c>
      <c r="K42" s="11" t="s">
        <v>28</v>
      </c>
      <c r="L42" s="13" t="s">
        <v>29</v>
      </c>
      <c r="M42" s="14">
        <v>1931</v>
      </c>
      <c r="N42" s="3" t="s">
        <v>304</v>
      </c>
      <c r="O42">
        <v>12</v>
      </c>
      <c r="P42" t="s">
        <v>305</v>
      </c>
      <c r="Q42" t="s">
        <v>306</v>
      </c>
      <c r="R42" t="s">
        <v>69</v>
      </c>
    </row>
    <row r="43" spans="1:18" x14ac:dyDescent="0.25">
      <c r="A43" t="s">
        <v>307</v>
      </c>
      <c r="B43" s="10" t="s">
        <v>308</v>
      </c>
      <c r="C43" s="11" t="s">
        <v>309</v>
      </c>
      <c r="D43" s="11" t="s">
        <v>310</v>
      </c>
      <c r="E43" s="11" t="s">
        <v>271</v>
      </c>
      <c r="F43" s="11" t="s">
        <v>39</v>
      </c>
      <c r="G43" s="11" t="s">
        <v>311</v>
      </c>
      <c r="H43" s="12">
        <v>29108</v>
      </c>
      <c r="I43" s="11" t="s">
        <v>41</v>
      </c>
      <c r="J43" s="11" t="s">
        <v>42</v>
      </c>
      <c r="K43" s="11" t="s">
        <v>28</v>
      </c>
      <c r="L43" s="13" t="s">
        <v>29</v>
      </c>
      <c r="M43" s="14">
        <v>1911</v>
      </c>
      <c r="N43" s="3" t="s">
        <v>312</v>
      </c>
      <c r="O43">
        <v>12</v>
      </c>
      <c r="P43" t="s">
        <v>305</v>
      </c>
      <c r="Q43" t="s">
        <v>127</v>
      </c>
      <c r="R43" t="s">
        <v>313</v>
      </c>
    </row>
    <row r="44" spans="1:18" x14ac:dyDescent="0.25">
      <c r="A44" t="s">
        <v>314</v>
      </c>
      <c r="B44" s="10" t="s">
        <v>315</v>
      </c>
      <c r="C44" s="11" t="s">
        <v>316</v>
      </c>
      <c r="D44" s="11" t="s">
        <v>317</v>
      </c>
      <c r="E44" s="11" t="s">
        <v>38</v>
      </c>
      <c r="F44" s="11" t="s">
        <v>39</v>
      </c>
      <c r="G44" s="11" t="s">
        <v>318</v>
      </c>
      <c r="H44" s="12">
        <v>21004</v>
      </c>
      <c r="I44" s="11" t="s">
        <v>26</v>
      </c>
      <c r="J44" s="11" t="s">
        <v>41</v>
      </c>
      <c r="K44" s="11" t="s">
        <v>28</v>
      </c>
      <c r="L44" s="13" t="s">
        <v>29</v>
      </c>
      <c r="M44" s="14">
        <v>1920</v>
      </c>
      <c r="N44" s="3" t="s">
        <v>118</v>
      </c>
      <c r="O44">
        <v>12</v>
      </c>
      <c r="P44" t="s">
        <v>305</v>
      </c>
      <c r="Q44" t="s">
        <v>38</v>
      </c>
      <c r="R44" t="s">
        <v>313</v>
      </c>
    </row>
    <row r="45" spans="1:18" x14ac:dyDescent="0.25">
      <c r="A45" t="s">
        <v>284</v>
      </c>
      <c r="B45" s="10" t="s">
        <v>319</v>
      </c>
      <c r="C45" s="11" t="s">
        <v>320</v>
      </c>
      <c r="D45" s="11" t="s">
        <v>321</v>
      </c>
      <c r="E45" s="11" t="s">
        <v>210</v>
      </c>
      <c r="F45" s="11" t="s">
        <v>211</v>
      </c>
      <c r="G45" s="11" t="s">
        <v>322</v>
      </c>
      <c r="H45" s="12">
        <v>60044</v>
      </c>
      <c r="I45" s="11" t="s">
        <v>27</v>
      </c>
      <c r="J45" s="11" t="s">
        <v>42</v>
      </c>
      <c r="K45" s="11" t="s">
        <v>50</v>
      </c>
      <c r="L45" s="11" t="s">
        <v>26</v>
      </c>
      <c r="M45" s="14">
        <v>1914</v>
      </c>
      <c r="N45" s="3" t="s">
        <v>321</v>
      </c>
      <c r="O45">
        <v>12</v>
      </c>
      <c r="P45" t="s">
        <v>305</v>
      </c>
      <c r="Q45" t="s">
        <v>210</v>
      </c>
      <c r="R45" t="s">
        <v>69</v>
      </c>
    </row>
    <row r="46" spans="1:18" x14ac:dyDescent="0.25">
      <c r="A46" t="s">
        <v>323</v>
      </c>
      <c r="B46" s="10" t="s">
        <v>324</v>
      </c>
      <c r="C46" s="11" t="s">
        <v>325</v>
      </c>
      <c r="D46" s="11" t="s">
        <v>326</v>
      </c>
      <c r="E46" s="11" t="s">
        <v>173</v>
      </c>
      <c r="F46" s="11" t="s">
        <v>174</v>
      </c>
      <c r="G46" s="11" t="s">
        <v>327</v>
      </c>
      <c r="H46" s="12">
        <v>16200</v>
      </c>
      <c r="I46" s="11" t="s">
        <v>67</v>
      </c>
      <c r="J46" s="11" t="s">
        <v>42</v>
      </c>
      <c r="K46" s="11" t="s">
        <v>28</v>
      </c>
      <c r="L46" s="13" t="s">
        <v>29</v>
      </c>
      <c r="M46" s="14">
        <v>1914</v>
      </c>
      <c r="N46" s="3" t="s">
        <v>328</v>
      </c>
      <c r="O46">
        <v>12</v>
      </c>
      <c r="P46" t="s">
        <v>305</v>
      </c>
      <c r="Q46" t="s">
        <v>173</v>
      </c>
      <c r="R46" t="s">
        <v>177</v>
      </c>
    </row>
    <row r="47" spans="1:18" x14ac:dyDescent="0.25">
      <c r="A47" t="s">
        <v>329</v>
      </c>
      <c r="B47" s="10" t="s">
        <v>330</v>
      </c>
      <c r="C47" s="11" t="s">
        <v>329</v>
      </c>
      <c r="D47" s="11" t="s">
        <v>331</v>
      </c>
      <c r="E47" s="11" t="s">
        <v>332</v>
      </c>
      <c r="F47" s="11" t="s">
        <v>333</v>
      </c>
      <c r="G47" s="11" t="s">
        <v>334</v>
      </c>
      <c r="H47" s="12">
        <v>15082</v>
      </c>
      <c r="I47" s="11" t="s">
        <v>27</v>
      </c>
      <c r="J47" s="11" t="s">
        <v>42</v>
      </c>
      <c r="K47" s="11" t="s">
        <v>28</v>
      </c>
      <c r="L47" s="13" t="s">
        <v>29</v>
      </c>
      <c r="M47" s="14">
        <v>1915</v>
      </c>
      <c r="N47" s="3" t="s">
        <v>335</v>
      </c>
      <c r="O47">
        <v>10</v>
      </c>
      <c r="P47" t="s">
        <v>305</v>
      </c>
      <c r="Q47" t="s">
        <v>336</v>
      </c>
      <c r="R47" t="s">
        <v>69</v>
      </c>
    </row>
    <row r="48" spans="1:18" x14ac:dyDescent="0.25">
      <c r="A48" t="s">
        <v>337</v>
      </c>
      <c r="B48" s="10" t="s">
        <v>219</v>
      </c>
      <c r="C48" s="11" t="s">
        <v>220</v>
      </c>
      <c r="D48" s="11" t="s">
        <v>338</v>
      </c>
      <c r="E48" s="11" t="s">
        <v>332</v>
      </c>
      <c r="F48" s="11" t="s">
        <v>333</v>
      </c>
      <c r="G48" s="11" t="s">
        <v>339</v>
      </c>
      <c r="H48" s="12">
        <v>31375</v>
      </c>
      <c r="I48" s="11" t="s">
        <v>26</v>
      </c>
      <c r="J48" s="11" t="s">
        <v>42</v>
      </c>
      <c r="K48" s="11" t="s">
        <v>28</v>
      </c>
      <c r="L48" s="13" t="s">
        <v>29</v>
      </c>
      <c r="M48" s="14">
        <v>1915</v>
      </c>
      <c r="N48" s="3" t="s">
        <v>216</v>
      </c>
      <c r="O48">
        <v>10</v>
      </c>
      <c r="P48" t="s">
        <v>305</v>
      </c>
      <c r="Q48" t="s">
        <v>336</v>
      </c>
      <c r="R48" t="s">
        <v>69</v>
      </c>
    </row>
    <row r="49" spans="1:18" x14ac:dyDescent="0.25">
      <c r="A49" t="s">
        <v>340</v>
      </c>
      <c r="B49" s="10" t="s">
        <v>341</v>
      </c>
      <c r="C49" s="11" t="s">
        <v>73</v>
      </c>
      <c r="D49" s="11" t="s">
        <v>342</v>
      </c>
      <c r="E49" s="11" t="s">
        <v>247</v>
      </c>
      <c r="F49" s="11" t="s">
        <v>153</v>
      </c>
      <c r="G49" s="11" t="s">
        <v>343</v>
      </c>
      <c r="H49" s="12">
        <v>19584</v>
      </c>
      <c r="I49" s="11" t="s">
        <v>27</v>
      </c>
      <c r="J49" s="11" t="s">
        <v>42</v>
      </c>
      <c r="K49" s="11" t="s">
        <v>28</v>
      </c>
      <c r="L49" s="13" t="s">
        <v>29</v>
      </c>
      <c r="M49" s="14">
        <v>1921</v>
      </c>
      <c r="N49" s="3" t="s">
        <v>131</v>
      </c>
      <c r="O49">
        <v>10</v>
      </c>
      <c r="P49" t="s">
        <v>305</v>
      </c>
      <c r="Q49" s="1" t="s">
        <v>249</v>
      </c>
      <c r="R49" t="s">
        <v>157</v>
      </c>
    </row>
    <row r="50" spans="1:18" x14ac:dyDescent="0.25">
      <c r="A50" t="s">
        <v>344</v>
      </c>
      <c r="B50" s="10" t="s">
        <v>345</v>
      </c>
      <c r="C50" s="11" t="s">
        <v>346</v>
      </c>
      <c r="D50" s="11" t="s">
        <v>347</v>
      </c>
      <c r="E50" s="11" t="s">
        <v>178</v>
      </c>
      <c r="F50" s="11" t="s">
        <v>182</v>
      </c>
      <c r="G50" s="11" t="s">
        <v>348</v>
      </c>
      <c r="H50" s="12">
        <v>20268</v>
      </c>
      <c r="I50" s="11" t="s">
        <v>26</v>
      </c>
      <c r="J50" s="11" t="s">
        <v>27</v>
      </c>
      <c r="K50" s="11" t="s">
        <v>50</v>
      </c>
      <c r="L50" s="11" t="s">
        <v>42</v>
      </c>
      <c r="M50" s="14">
        <v>1933</v>
      </c>
      <c r="N50" s="3" t="s">
        <v>242</v>
      </c>
      <c r="O50">
        <v>10</v>
      </c>
      <c r="P50" t="s">
        <v>305</v>
      </c>
      <c r="Q50" t="s">
        <v>178</v>
      </c>
      <c r="R50" t="s">
        <v>69</v>
      </c>
    </row>
    <row r="51" spans="1:18" x14ac:dyDescent="0.25">
      <c r="A51" t="s">
        <v>349</v>
      </c>
      <c r="B51" s="10" t="s">
        <v>350</v>
      </c>
      <c r="C51" s="11" t="s">
        <v>220</v>
      </c>
      <c r="D51" s="11" t="s">
        <v>351</v>
      </c>
      <c r="E51" s="11" t="s">
        <v>352</v>
      </c>
      <c r="F51" s="11" t="s">
        <v>353</v>
      </c>
      <c r="G51" s="11" t="s">
        <v>354</v>
      </c>
      <c r="H51" s="12">
        <v>44000</v>
      </c>
      <c r="I51" s="11" t="s">
        <v>117</v>
      </c>
      <c r="J51" s="11" t="s">
        <v>27</v>
      </c>
      <c r="K51" s="11" t="s">
        <v>28</v>
      </c>
      <c r="L51" s="13" t="s">
        <v>29</v>
      </c>
      <c r="M51" s="14">
        <v>2019</v>
      </c>
      <c r="N51" s="3" t="s">
        <v>351</v>
      </c>
      <c r="O51">
        <v>10</v>
      </c>
      <c r="P51" t="s">
        <v>305</v>
      </c>
      <c r="Q51" t="s">
        <v>352</v>
      </c>
      <c r="R51" t="s">
        <v>177</v>
      </c>
    </row>
    <row r="52" spans="1:18" x14ac:dyDescent="0.25">
      <c r="A52" t="s">
        <v>355</v>
      </c>
      <c r="B52" s="10" t="s">
        <v>356</v>
      </c>
      <c r="C52" s="11" t="s">
        <v>357</v>
      </c>
      <c r="D52" s="11" t="s">
        <v>358</v>
      </c>
      <c r="E52" s="11" t="s">
        <v>359</v>
      </c>
      <c r="F52" s="11" t="s">
        <v>109</v>
      </c>
      <c r="G52" s="11" t="s">
        <v>360</v>
      </c>
      <c r="H52" s="12">
        <v>10400</v>
      </c>
      <c r="I52" s="11" t="s">
        <v>26</v>
      </c>
      <c r="J52" s="11" t="s">
        <v>27</v>
      </c>
      <c r="K52" s="11" t="s">
        <v>28</v>
      </c>
      <c r="L52" s="13" t="s">
        <v>29</v>
      </c>
      <c r="M52" s="14">
        <v>1911</v>
      </c>
      <c r="N52" s="3" t="s">
        <v>361</v>
      </c>
      <c r="O52">
        <v>10</v>
      </c>
      <c r="P52" t="s">
        <v>305</v>
      </c>
      <c r="Q52" t="s">
        <v>197</v>
      </c>
      <c r="R52" t="s">
        <v>111</v>
      </c>
    </row>
    <row r="53" spans="1:18" x14ac:dyDescent="0.25">
      <c r="A53" t="s">
        <v>362</v>
      </c>
      <c r="B53" s="10" t="s">
        <v>363</v>
      </c>
      <c r="C53" s="11" t="s">
        <v>364</v>
      </c>
      <c r="D53" s="11" t="s">
        <v>365</v>
      </c>
      <c r="E53" s="11" t="s">
        <v>366</v>
      </c>
      <c r="F53" s="11" t="s">
        <v>367</v>
      </c>
      <c r="G53" s="11" t="s">
        <v>368</v>
      </c>
      <c r="H53" s="12">
        <v>15575</v>
      </c>
      <c r="I53" s="11" t="s">
        <v>67</v>
      </c>
      <c r="J53" s="11" t="s">
        <v>42</v>
      </c>
      <c r="K53" s="11" t="s">
        <v>28</v>
      </c>
      <c r="L53" s="13" t="s">
        <v>29</v>
      </c>
      <c r="M53" s="14">
        <v>1936</v>
      </c>
      <c r="N53" s="3" t="s">
        <v>216</v>
      </c>
      <c r="O53">
        <v>8</v>
      </c>
      <c r="P53" t="s">
        <v>305</v>
      </c>
      <c r="Q53" t="s">
        <v>369</v>
      </c>
      <c r="R53" t="s">
        <v>69</v>
      </c>
    </row>
    <row r="54" spans="1:18" x14ac:dyDescent="0.25">
      <c r="A54" t="s">
        <v>370</v>
      </c>
      <c r="B54" s="10" t="s">
        <v>371</v>
      </c>
      <c r="C54" s="11" t="s">
        <v>372</v>
      </c>
      <c r="D54" s="11" t="s">
        <v>373</v>
      </c>
      <c r="E54" s="11" t="s">
        <v>132</v>
      </c>
      <c r="F54" s="11" t="s">
        <v>133</v>
      </c>
      <c r="G54" s="11" t="s">
        <v>374</v>
      </c>
      <c r="H54" s="12">
        <v>17140</v>
      </c>
      <c r="I54" s="11" t="s">
        <v>26</v>
      </c>
      <c r="J54" s="11" t="s">
        <v>67</v>
      </c>
      <c r="K54" s="11" t="s">
        <v>50</v>
      </c>
      <c r="L54" s="11" t="s">
        <v>42</v>
      </c>
      <c r="M54" s="14">
        <v>1989</v>
      </c>
      <c r="N54" s="3" t="s">
        <v>375</v>
      </c>
      <c r="O54">
        <v>8</v>
      </c>
      <c r="P54" t="s">
        <v>305</v>
      </c>
      <c r="Q54" t="s">
        <v>132</v>
      </c>
      <c r="R54" t="s">
        <v>135</v>
      </c>
    </row>
    <row r="55" spans="1:18" x14ac:dyDescent="0.25">
      <c r="A55" t="s">
        <v>376</v>
      </c>
      <c r="B55" s="10" t="s">
        <v>377</v>
      </c>
      <c r="C55" s="11" t="s">
        <v>378</v>
      </c>
      <c r="D55" s="11" t="s">
        <v>379</v>
      </c>
      <c r="E55" s="11" t="s">
        <v>380</v>
      </c>
      <c r="F55" s="11" t="s">
        <v>302</v>
      </c>
      <c r="G55" s="11" t="s">
        <v>348</v>
      </c>
      <c r="H55" s="12">
        <v>6500</v>
      </c>
      <c r="I55" s="11" t="s">
        <v>27</v>
      </c>
      <c r="J55" s="11" t="s">
        <v>42</v>
      </c>
      <c r="K55" s="11" t="s">
        <v>28</v>
      </c>
      <c r="L55" s="13" t="s">
        <v>29</v>
      </c>
      <c r="M55" s="14">
        <v>1925</v>
      </c>
      <c r="N55" s="3" t="s">
        <v>88</v>
      </c>
      <c r="O55">
        <v>8</v>
      </c>
      <c r="P55" t="s">
        <v>305</v>
      </c>
      <c r="Q55" t="s">
        <v>306</v>
      </c>
      <c r="R55" t="s">
        <v>69</v>
      </c>
    </row>
    <row r="56" spans="1:18" x14ac:dyDescent="0.25">
      <c r="A56" t="s">
        <v>381</v>
      </c>
      <c r="B56" s="10" t="s">
        <v>382</v>
      </c>
      <c r="C56" s="11" t="s">
        <v>383</v>
      </c>
      <c r="D56" s="11" t="s">
        <v>96</v>
      </c>
      <c r="E56" s="11" t="s">
        <v>380</v>
      </c>
      <c r="F56" s="11" t="s">
        <v>302</v>
      </c>
      <c r="G56" s="11" t="s">
        <v>384</v>
      </c>
      <c r="H56" s="12">
        <v>19000</v>
      </c>
      <c r="I56" s="11" t="s">
        <v>26</v>
      </c>
      <c r="J56" s="11" t="s">
        <v>27</v>
      </c>
      <c r="K56" s="11" t="s">
        <v>28</v>
      </c>
      <c r="L56" s="13" t="s">
        <v>29</v>
      </c>
      <c r="M56" s="14">
        <v>1915</v>
      </c>
      <c r="N56" s="3" t="s">
        <v>96</v>
      </c>
      <c r="O56">
        <v>8</v>
      </c>
      <c r="P56" t="s">
        <v>305</v>
      </c>
      <c r="Q56" t="s">
        <v>306</v>
      </c>
      <c r="R56" t="s">
        <v>69</v>
      </c>
    </row>
    <row r="57" spans="1:18" x14ac:dyDescent="0.25">
      <c r="A57" t="s">
        <v>385</v>
      </c>
      <c r="B57" s="10" t="s">
        <v>386</v>
      </c>
      <c r="C57" s="11" t="s">
        <v>387</v>
      </c>
      <c r="D57" s="11" t="s">
        <v>388</v>
      </c>
      <c r="E57" s="11" t="s">
        <v>194</v>
      </c>
      <c r="F57" s="11" t="s">
        <v>109</v>
      </c>
      <c r="G57" s="11" t="s">
        <v>389</v>
      </c>
      <c r="H57" s="12">
        <v>22132</v>
      </c>
      <c r="I57" s="11" t="s">
        <v>75</v>
      </c>
      <c r="J57" s="11" t="s">
        <v>67</v>
      </c>
      <c r="K57" s="11" t="s">
        <v>50</v>
      </c>
      <c r="L57" s="11" t="s">
        <v>42</v>
      </c>
      <c r="M57" s="14">
        <v>1935</v>
      </c>
      <c r="N57" s="3" t="s">
        <v>390</v>
      </c>
      <c r="O57">
        <v>8</v>
      </c>
      <c r="P57" t="s">
        <v>305</v>
      </c>
      <c r="Q57" t="s">
        <v>197</v>
      </c>
      <c r="R57" t="s">
        <v>111</v>
      </c>
    </row>
    <row r="58" spans="1:18" x14ac:dyDescent="0.25">
      <c r="A58" t="s">
        <v>391</v>
      </c>
      <c r="B58" s="10" t="s">
        <v>392</v>
      </c>
      <c r="C58" s="11" t="s">
        <v>393</v>
      </c>
      <c r="D58" s="11" t="s">
        <v>394</v>
      </c>
      <c r="E58" s="11" t="s">
        <v>395</v>
      </c>
      <c r="F58" s="11" t="s">
        <v>39</v>
      </c>
      <c r="G58" s="11" t="s">
        <v>396</v>
      </c>
      <c r="H58" s="12">
        <v>18000</v>
      </c>
      <c r="I58" s="11" t="s">
        <v>27</v>
      </c>
      <c r="J58" s="11" t="s">
        <v>42</v>
      </c>
      <c r="K58" s="11" t="s">
        <v>28</v>
      </c>
      <c r="L58" s="13" t="s">
        <v>29</v>
      </c>
      <c r="M58" s="14">
        <v>1913</v>
      </c>
      <c r="N58" s="3" t="s">
        <v>118</v>
      </c>
      <c r="O58">
        <v>8</v>
      </c>
      <c r="P58" t="s">
        <v>305</v>
      </c>
      <c r="Q58" t="s">
        <v>119</v>
      </c>
      <c r="R58" t="s">
        <v>313</v>
      </c>
    </row>
    <row r="59" spans="1:18" x14ac:dyDescent="0.25">
      <c r="A59" t="s">
        <v>397</v>
      </c>
      <c r="B59" s="10" t="s">
        <v>398</v>
      </c>
      <c r="C59" s="11" t="s">
        <v>320</v>
      </c>
      <c r="D59" s="11" t="s">
        <v>399</v>
      </c>
      <c r="E59" s="11" t="s">
        <v>400</v>
      </c>
      <c r="F59" s="11" t="s">
        <v>401</v>
      </c>
      <c r="G59" s="11" t="s">
        <v>402</v>
      </c>
      <c r="H59" s="12">
        <v>40149</v>
      </c>
      <c r="I59" s="11" t="s">
        <v>41</v>
      </c>
      <c r="J59" s="11" t="s">
        <v>117</v>
      </c>
      <c r="K59" s="11" t="s">
        <v>50</v>
      </c>
      <c r="L59" s="11" t="s">
        <v>26</v>
      </c>
      <c r="M59" s="14">
        <v>1923</v>
      </c>
      <c r="N59" s="3" t="s">
        <v>242</v>
      </c>
      <c r="O59">
        <v>8</v>
      </c>
      <c r="P59" t="s">
        <v>305</v>
      </c>
      <c r="Q59" t="s">
        <v>403</v>
      </c>
      <c r="R59" t="s">
        <v>69</v>
      </c>
    </row>
    <row r="60" spans="1:18" x14ac:dyDescent="0.25">
      <c r="A60" t="s">
        <v>404</v>
      </c>
      <c r="B60" s="10" t="s">
        <v>405</v>
      </c>
      <c r="C60" s="11" t="s">
        <v>406</v>
      </c>
      <c r="D60" s="11" t="s">
        <v>196</v>
      </c>
      <c r="E60" s="11" t="s">
        <v>404</v>
      </c>
      <c r="F60" s="11" t="s">
        <v>407</v>
      </c>
      <c r="G60" s="11" t="s">
        <v>408</v>
      </c>
      <c r="H60" s="12">
        <v>20310</v>
      </c>
      <c r="I60" s="11" t="s">
        <v>41</v>
      </c>
      <c r="J60" s="11" t="s">
        <v>42</v>
      </c>
      <c r="K60" s="11" t="s">
        <v>28</v>
      </c>
      <c r="L60" s="13" t="s">
        <v>29</v>
      </c>
      <c r="M60" s="14">
        <v>1975</v>
      </c>
      <c r="N60" s="3" t="s">
        <v>196</v>
      </c>
      <c r="O60">
        <v>8</v>
      </c>
      <c r="P60" t="s">
        <v>305</v>
      </c>
      <c r="Q60" t="s">
        <v>409</v>
      </c>
      <c r="R60" t="s">
        <v>205</v>
      </c>
    </row>
    <row r="61" spans="1:18" x14ac:dyDescent="0.25">
      <c r="A61" t="s">
        <v>410</v>
      </c>
      <c r="B61" s="10" t="s">
        <v>411</v>
      </c>
      <c r="C61" s="11" t="s">
        <v>180</v>
      </c>
      <c r="D61" s="11" t="s">
        <v>412</v>
      </c>
      <c r="E61" s="11" t="s">
        <v>178</v>
      </c>
      <c r="F61" s="11" t="s">
        <v>182</v>
      </c>
      <c r="G61" s="11" t="s">
        <v>348</v>
      </c>
      <c r="H61" s="12">
        <v>20268</v>
      </c>
      <c r="I61" s="11" t="s">
        <v>41</v>
      </c>
      <c r="J61" s="11" t="s">
        <v>42</v>
      </c>
      <c r="K61" s="11" t="s">
        <v>28</v>
      </c>
      <c r="L61" s="13" t="s">
        <v>29</v>
      </c>
      <c r="M61" s="14">
        <v>1954</v>
      </c>
      <c r="N61" s="3" t="s">
        <v>328</v>
      </c>
      <c r="O61">
        <v>8</v>
      </c>
      <c r="P61" t="s">
        <v>305</v>
      </c>
      <c r="Q61" t="s">
        <v>178</v>
      </c>
      <c r="R61" t="s">
        <v>69</v>
      </c>
    </row>
    <row r="62" spans="1:18" x14ac:dyDescent="0.25">
      <c r="A62" t="s">
        <v>413</v>
      </c>
      <c r="B62" s="10" t="s">
        <v>414</v>
      </c>
      <c r="C62" s="11" t="s">
        <v>415</v>
      </c>
      <c r="D62" s="11" t="s">
        <v>416</v>
      </c>
      <c r="E62" s="11" t="s">
        <v>352</v>
      </c>
      <c r="F62" s="11" t="s">
        <v>353</v>
      </c>
      <c r="G62" s="11" t="s">
        <v>417</v>
      </c>
      <c r="H62" s="12">
        <v>10000</v>
      </c>
      <c r="I62" s="11" t="s">
        <v>27</v>
      </c>
      <c r="J62" s="11" t="s">
        <v>42</v>
      </c>
      <c r="K62" s="11" t="s">
        <v>28</v>
      </c>
      <c r="L62" s="13" t="s">
        <v>29</v>
      </c>
      <c r="M62" s="14">
        <v>1913</v>
      </c>
      <c r="N62" s="3" t="s">
        <v>88</v>
      </c>
      <c r="O62">
        <v>7</v>
      </c>
      <c r="P62" t="s">
        <v>418</v>
      </c>
      <c r="Q62" t="s">
        <v>352</v>
      </c>
      <c r="R62" t="s">
        <v>177</v>
      </c>
    </row>
    <row r="63" spans="1:18" x14ac:dyDescent="0.25">
      <c r="A63" t="s">
        <v>419</v>
      </c>
      <c r="B63" s="10" t="s">
        <v>420</v>
      </c>
      <c r="C63" s="11" t="s">
        <v>421</v>
      </c>
      <c r="D63" s="11" t="s">
        <v>422</v>
      </c>
      <c r="E63" s="11" t="s">
        <v>419</v>
      </c>
      <c r="F63" s="11" t="s">
        <v>302</v>
      </c>
      <c r="G63" s="11" t="s">
        <v>423</v>
      </c>
      <c r="H63" s="12">
        <v>5400</v>
      </c>
      <c r="I63" s="11" t="s">
        <v>41</v>
      </c>
      <c r="J63" s="11" t="s">
        <v>42</v>
      </c>
      <c r="K63" s="11" t="s">
        <v>28</v>
      </c>
      <c r="L63" s="13" t="s">
        <v>29</v>
      </c>
      <c r="M63" s="14">
        <v>1991</v>
      </c>
      <c r="N63" s="3" t="s">
        <v>422</v>
      </c>
      <c r="O63">
        <v>7</v>
      </c>
      <c r="P63" t="s">
        <v>418</v>
      </c>
      <c r="Q63" t="s">
        <v>306</v>
      </c>
      <c r="R63" t="s">
        <v>424</v>
      </c>
    </row>
    <row r="64" spans="1:18" x14ac:dyDescent="0.25">
      <c r="A64" t="s">
        <v>425</v>
      </c>
      <c r="B64" s="10" t="s">
        <v>426</v>
      </c>
      <c r="C64" s="11" t="s">
        <v>427</v>
      </c>
      <c r="D64" s="11" t="s">
        <v>428</v>
      </c>
      <c r="E64" s="11" t="s">
        <v>400</v>
      </c>
      <c r="F64" s="11" t="s">
        <v>401</v>
      </c>
      <c r="G64" s="11" t="s">
        <v>429</v>
      </c>
      <c r="H64" s="12">
        <v>12891</v>
      </c>
      <c r="I64" s="11" t="s">
        <v>26</v>
      </c>
      <c r="J64" s="11" t="s">
        <v>27</v>
      </c>
      <c r="K64" s="11" t="s">
        <v>28</v>
      </c>
      <c r="L64" s="13" t="s">
        <v>29</v>
      </c>
      <c r="M64" s="14">
        <v>1937</v>
      </c>
      <c r="N64" s="3" t="s">
        <v>430</v>
      </c>
      <c r="O64">
        <v>7</v>
      </c>
      <c r="P64" t="s">
        <v>418</v>
      </c>
      <c r="Q64" t="s">
        <v>403</v>
      </c>
      <c r="R64" t="s">
        <v>424</v>
      </c>
    </row>
    <row r="65" spans="1:18" x14ac:dyDescent="0.25">
      <c r="A65" t="s">
        <v>431</v>
      </c>
      <c r="B65" s="10" t="s">
        <v>432</v>
      </c>
      <c r="C65" s="11" t="s">
        <v>431</v>
      </c>
      <c r="D65" s="11" t="s">
        <v>433</v>
      </c>
      <c r="E65" s="11" t="s">
        <v>434</v>
      </c>
      <c r="F65" s="11" t="s">
        <v>254</v>
      </c>
      <c r="G65" s="11" t="s">
        <v>435</v>
      </c>
      <c r="H65" s="12">
        <v>15332</v>
      </c>
      <c r="I65" s="11" t="s">
        <v>27</v>
      </c>
      <c r="J65" s="11" t="s">
        <v>42</v>
      </c>
      <c r="K65" s="11" t="s">
        <v>28</v>
      </c>
      <c r="L65" s="13" t="s">
        <v>29</v>
      </c>
      <c r="M65" s="14">
        <v>1952</v>
      </c>
      <c r="N65" s="3" t="s">
        <v>288</v>
      </c>
      <c r="O65">
        <v>7</v>
      </c>
      <c r="P65" t="s">
        <v>418</v>
      </c>
      <c r="Q65" t="s">
        <v>257</v>
      </c>
      <c r="R65" t="s">
        <v>424</v>
      </c>
    </row>
    <row r="66" spans="1:18" x14ac:dyDescent="0.25">
      <c r="A66" t="s">
        <v>436</v>
      </c>
      <c r="B66" s="10" t="s">
        <v>437</v>
      </c>
      <c r="C66" s="11" t="s">
        <v>438</v>
      </c>
      <c r="D66" s="11" t="s">
        <v>439</v>
      </c>
      <c r="E66" s="11" t="s">
        <v>436</v>
      </c>
      <c r="F66" s="11" t="s">
        <v>24</v>
      </c>
      <c r="G66" s="11" t="s">
        <v>440</v>
      </c>
      <c r="H66" s="12">
        <v>18230</v>
      </c>
      <c r="I66" s="11" t="s">
        <v>117</v>
      </c>
      <c r="J66" s="11" t="s">
        <v>27</v>
      </c>
      <c r="K66" s="11" t="s">
        <v>50</v>
      </c>
      <c r="L66" s="11" t="s">
        <v>42</v>
      </c>
      <c r="M66" s="14">
        <v>1976</v>
      </c>
      <c r="N66" s="3" t="s">
        <v>441</v>
      </c>
      <c r="O66">
        <v>7</v>
      </c>
      <c r="P66" t="s">
        <v>418</v>
      </c>
      <c r="Q66" t="s">
        <v>442</v>
      </c>
      <c r="R66" t="s">
        <v>32</v>
      </c>
    </row>
    <row r="67" spans="1:18" x14ac:dyDescent="0.25">
      <c r="A67" t="s">
        <v>443</v>
      </c>
      <c r="B67" s="10" t="s">
        <v>444</v>
      </c>
      <c r="C67" s="11" t="s">
        <v>443</v>
      </c>
      <c r="D67" s="11" t="s">
        <v>445</v>
      </c>
      <c r="E67" s="11" t="s">
        <v>253</v>
      </c>
      <c r="F67" s="11" t="s">
        <v>254</v>
      </c>
      <c r="G67" s="11" t="s">
        <v>255</v>
      </c>
      <c r="H67" s="12">
        <v>19105</v>
      </c>
      <c r="I67" s="11" t="s">
        <v>67</v>
      </c>
      <c r="J67" s="11" t="s">
        <v>42</v>
      </c>
      <c r="K67" s="11" t="s">
        <v>28</v>
      </c>
      <c r="L67" s="13" t="s">
        <v>29</v>
      </c>
      <c r="M67" s="14">
        <v>1913</v>
      </c>
      <c r="N67" s="3" t="s">
        <v>446</v>
      </c>
      <c r="O67">
        <v>7</v>
      </c>
      <c r="P67" t="s">
        <v>418</v>
      </c>
      <c r="Q67" t="s">
        <v>257</v>
      </c>
      <c r="R67" t="s">
        <v>424</v>
      </c>
    </row>
    <row r="68" spans="1:18" x14ac:dyDescent="0.25">
      <c r="A68" t="s">
        <v>447</v>
      </c>
      <c r="B68" s="10" t="s">
        <v>448</v>
      </c>
      <c r="C68" s="11" t="s">
        <v>449</v>
      </c>
      <c r="D68" s="11" t="s">
        <v>450</v>
      </c>
      <c r="E68" s="11" t="s">
        <v>451</v>
      </c>
      <c r="F68" s="11" t="s">
        <v>182</v>
      </c>
      <c r="G68" s="11" t="s">
        <v>452</v>
      </c>
      <c r="H68" s="12">
        <v>17230</v>
      </c>
      <c r="I68" s="11" t="s">
        <v>41</v>
      </c>
      <c r="J68" s="11" t="s">
        <v>42</v>
      </c>
      <c r="K68" s="11" t="s">
        <v>28</v>
      </c>
      <c r="L68" s="13" t="s">
        <v>29</v>
      </c>
      <c r="M68" s="14">
        <v>2002</v>
      </c>
      <c r="N68" s="3" t="s">
        <v>453</v>
      </c>
      <c r="O68">
        <v>6</v>
      </c>
      <c r="P68" t="s">
        <v>418</v>
      </c>
      <c r="Q68" t="s">
        <v>454</v>
      </c>
      <c r="R68" t="s">
        <v>424</v>
      </c>
    </row>
    <row r="69" spans="1:18" x14ac:dyDescent="0.25">
      <c r="A69" t="s">
        <v>455</v>
      </c>
      <c r="B69" s="10" t="s">
        <v>456</v>
      </c>
      <c r="C69" s="11" t="s">
        <v>281</v>
      </c>
      <c r="D69" s="11" t="s">
        <v>457</v>
      </c>
      <c r="E69" s="11" t="s">
        <v>458</v>
      </c>
      <c r="F69" s="11" t="s">
        <v>407</v>
      </c>
      <c r="G69" s="11" t="s">
        <v>459</v>
      </c>
      <c r="H69" s="12">
        <v>27000</v>
      </c>
      <c r="I69" s="11" t="s">
        <v>117</v>
      </c>
      <c r="J69" s="11" t="s">
        <v>42</v>
      </c>
      <c r="K69" s="11" t="s">
        <v>28</v>
      </c>
      <c r="L69" s="13" t="s">
        <v>29</v>
      </c>
      <c r="M69" s="14">
        <v>2000</v>
      </c>
      <c r="N69" s="3" t="s">
        <v>457</v>
      </c>
      <c r="O69">
        <v>6</v>
      </c>
      <c r="P69" t="s">
        <v>418</v>
      </c>
      <c r="Q69" t="s">
        <v>409</v>
      </c>
      <c r="R69" t="s">
        <v>205</v>
      </c>
    </row>
    <row r="70" spans="1:18" x14ac:dyDescent="0.25">
      <c r="A70" t="s">
        <v>460</v>
      </c>
      <c r="B70" s="10" t="s">
        <v>461</v>
      </c>
      <c r="C70" s="11" t="s">
        <v>462</v>
      </c>
      <c r="D70" s="11" t="s">
        <v>463</v>
      </c>
      <c r="E70" s="11" t="s">
        <v>223</v>
      </c>
      <c r="F70" s="11" t="s">
        <v>226</v>
      </c>
      <c r="G70" s="11" t="s">
        <v>464</v>
      </c>
      <c r="H70" s="12">
        <v>7500</v>
      </c>
      <c r="I70" s="11" t="s">
        <v>27</v>
      </c>
      <c r="J70" s="11" t="s">
        <v>42</v>
      </c>
      <c r="K70" s="11" t="s">
        <v>28</v>
      </c>
      <c r="L70" s="13" t="s">
        <v>29</v>
      </c>
      <c r="M70" s="14">
        <v>1934</v>
      </c>
      <c r="N70" s="3" t="s">
        <v>235</v>
      </c>
      <c r="O70">
        <v>6</v>
      </c>
      <c r="P70" t="s">
        <v>418</v>
      </c>
      <c r="Q70" t="s">
        <v>228</v>
      </c>
      <c r="R70" t="s">
        <v>205</v>
      </c>
    </row>
    <row r="71" spans="1:18" x14ac:dyDescent="0.25">
      <c r="A71" t="s">
        <v>465</v>
      </c>
      <c r="B71" s="10" t="s">
        <v>466</v>
      </c>
      <c r="C71" s="11" t="s">
        <v>467</v>
      </c>
      <c r="D71" s="11" t="s">
        <v>221</v>
      </c>
      <c r="E71" s="11" t="s">
        <v>465</v>
      </c>
      <c r="F71" s="11" t="s">
        <v>153</v>
      </c>
      <c r="G71" s="11" t="s">
        <v>468</v>
      </c>
      <c r="H71" s="12">
        <v>22400</v>
      </c>
      <c r="I71" s="11" t="s">
        <v>26</v>
      </c>
      <c r="J71" s="11" t="s">
        <v>27</v>
      </c>
      <c r="K71" s="11" t="s">
        <v>50</v>
      </c>
      <c r="L71" s="11" t="s">
        <v>42</v>
      </c>
      <c r="M71" s="14">
        <v>1976</v>
      </c>
      <c r="N71" s="3" t="s">
        <v>221</v>
      </c>
      <c r="O71">
        <v>6</v>
      </c>
      <c r="P71" t="s">
        <v>418</v>
      </c>
      <c r="Q71" t="s">
        <v>156</v>
      </c>
      <c r="R71" t="s">
        <v>157</v>
      </c>
    </row>
    <row r="72" spans="1:18" x14ac:dyDescent="0.25">
      <c r="A72" t="s">
        <v>469</v>
      </c>
      <c r="B72" s="10" t="s">
        <v>470</v>
      </c>
      <c r="C72" s="11" t="s">
        <v>471</v>
      </c>
      <c r="D72" s="11" t="s">
        <v>472</v>
      </c>
      <c r="E72" s="11" t="s">
        <v>352</v>
      </c>
      <c r="F72" s="11" t="s">
        <v>353</v>
      </c>
      <c r="G72" s="11" t="s">
        <v>417</v>
      </c>
      <c r="H72" s="12">
        <v>10000</v>
      </c>
      <c r="I72" s="11" t="s">
        <v>67</v>
      </c>
      <c r="J72" s="11" t="s">
        <v>42</v>
      </c>
      <c r="K72" s="11" t="s">
        <v>28</v>
      </c>
      <c r="L72" s="13" t="s">
        <v>29</v>
      </c>
      <c r="M72" s="14">
        <v>1913</v>
      </c>
      <c r="N72" s="3" t="s">
        <v>118</v>
      </c>
      <c r="O72">
        <v>6</v>
      </c>
      <c r="P72" t="s">
        <v>418</v>
      </c>
      <c r="Q72" t="s">
        <v>352</v>
      </c>
      <c r="R72" t="s">
        <v>177</v>
      </c>
    </row>
    <row r="73" spans="1:18" x14ac:dyDescent="0.25">
      <c r="A73" t="s">
        <v>352</v>
      </c>
      <c r="B73" s="10" t="s">
        <v>473</v>
      </c>
      <c r="C73" s="11" t="s">
        <v>114</v>
      </c>
      <c r="D73" s="11" t="s">
        <v>474</v>
      </c>
      <c r="E73" s="11" t="s">
        <v>352</v>
      </c>
      <c r="F73" s="11" t="s">
        <v>353</v>
      </c>
      <c r="G73" s="11" t="s">
        <v>354</v>
      </c>
      <c r="H73" s="12">
        <v>44000</v>
      </c>
      <c r="I73" s="11" t="s">
        <v>41</v>
      </c>
      <c r="J73" s="11" t="s">
        <v>42</v>
      </c>
      <c r="K73" s="11" t="s">
        <v>28</v>
      </c>
      <c r="L73" s="13" t="s">
        <v>29</v>
      </c>
      <c r="M73" s="14">
        <v>2013</v>
      </c>
      <c r="N73" s="3" t="s">
        <v>475</v>
      </c>
      <c r="O73">
        <v>6</v>
      </c>
      <c r="P73" t="s">
        <v>418</v>
      </c>
      <c r="Q73" t="s">
        <v>352</v>
      </c>
      <c r="R73" t="s">
        <v>177</v>
      </c>
    </row>
    <row r="74" spans="1:18" x14ac:dyDescent="0.25">
      <c r="A74" t="s">
        <v>476</v>
      </c>
      <c r="B74" s="10" t="s">
        <v>477</v>
      </c>
      <c r="C74" s="11" t="s">
        <v>478</v>
      </c>
      <c r="D74" s="11" t="s">
        <v>479</v>
      </c>
      <c r="E74" s="11" t="s">
        <v>480</v>
      </c>
      <c r="F74" s="11" t="s">
        <v>182</v>
      </c>
      <c r="G74" s="11" t="s">
        <v>481</v>
      </c>
      <c r="H74" s="12">
        <v>8585</v>
      </c>
      <c r="I74" s="11" t="s">
        <v>26</v>
      </c>
      <c r="J74" s="11" t="s">
        <v>27</v>
      </c>
      <c r="K74" s="11" t="s">
        <v>28</v>
      </c>
      <c r="L74" s="13" t="s">
        <v>29</v>
      </c>
      <c r="M74" s="14">
        <v>1938</v>
      </c>
      <c r="N74" s="3" t="s">
        <v>482</v>
      </c>
      <c r="O74">
        <v>6</v>
      </c>
      <c r="P74" t="s">
        <v>418</v>
      </c>
      <c r="Q74" t="s">
        <v>454</v>
      </c>
      <c r="R74" t="s">
        <v>424</v>
      </c>
    </row>
    <row r="75" spans="1:18" x14ac:dyDescent="0.25">
      <c r="A75" t="s">
        <v>483</v>
      </c>
      <c r="B75" s="10" t="s">
        <v>484</v>
      </c>
      <c r="C75" s="11" t="s">
        <v>187</v>
      </c>
      <c r="D75" s="11" t="s">
        <v>485</v>
      </c>
      <c r="E75" s="11" t="s">
        <v>486</v>
      </c>
      <c r="F75" s="11" t="s">
        <v>211</v>
      </c>
      <c r="G75" s="11" t="s">
        <v>487</v>
      </c>
      <c r="H75" s="12">
        <v>19478</v>
      </c>
      <c r="I75" s="11" t="s">
        <v>27</v>
      </c>
      <c r="J75" s="11" t="s">
        <v>42</v>
      </c>
      <c r="K75" s="11" t="s">
        <v>28</v>
      </c>
      <c r="L75" s="13" t="s">
        <v>29</v>
      </c>
      <c r="M75" s="14">
        <v>1919</v>
      </c>
      <c r="N75" s="3" t="s">
        <v>485</v>
      </c>
      <c r="O75">
        <v>6</v>
      </c>
      <c r="P75" t="s">
        <v>418</v>
      </c>
      <c r="Q75" t="s">
        <v>488</v>
      </c>
      <c r="R75" t="s">
        <v>424</v>
      </c>
    </row>
    <row r="76" spans="1:18" x14ac:dyDescent="0.25">
      <c r="A76" t="s">
        <v>359</v>
      </c>
      <c r="B76" s="10" t="s">
        <v>489</v>
      </c>
      <c r="C76" s="11" t="s">
        <v>490</v>
      </c>
      <c r="D76" s="11" t="s">
        <v>491</v>
      </c>
      <c r="E76" s="11" t="s">
        <v>359</v>
      </c>
      <c r="F76" s="11" t="s">
        <v>109</v>
      </c>
      <c r="G76" s="11" t="s">
        <v>492</v>
      </c>
      <c r="H76" s="12">
        <v>23336</v>
      </c>
      <c r="I76" s="11" t="s">
        <v>117</v>
      </c>
      <c r="J76" s="11" t="s">
        <v>67</v>
      </c>
      <c r="K76" s="11" t="s">
        <v>28</v>
      </c>
      <c r="L76" s="13" t="s">
        <v>29</v>
      </c>
      <c r="M76" s="14">
        <v>1908</v>
      </c>
      <c r="N76" s="3" t="s">
        <v>328</v>
      </c>
      <c r="O76">
        <v>6</v>
      </c>
      <c r="P76" t="s">
        <v>418</v>
      </c>
      <c r="Q76" t="s">
        <v>197</v>
      </c>
      <c r="R76" t="s">
        <v>111</v>
      </c>
    </row>
    <row r="77" spans="1:18" x14ac:dyDescent="0.25">
      <c r="A77" t="s">
        <v>369</v>
      </c>
      <c r="B77" s="10" t="s">
        <v>493</v>
      </c>
      <c r="C77" s="11" t="s">
        <v>494</v>
      </c>
      <c r="D77" s="11" t="s">
        <v>495</v>
      </c>
      <c r="E77" s="11" t="s">
        <v>366</v>
      </c>
      <c r="F77" s="11" t="s">
        <v>367</v>
      </c>
      <c r="G77" s="11" t="s">
        <v>496</v>
      </c>
      <c r="H77" s="12">
        <v>6000</v>
      </c>
      <c r="I77" s="11" t="s">
        <v>26</v>
      </c>
      <c r="J77" s="11" t="s">
        <v>42</v>
      </c>
      <c r="K77" s="11" t="s">
        <v>28</v>
      </c>
      <c r="L77" s="13" t="s">
        <v>29</v>
      </c>
      <c r="M77" s="14">
        <v>1909</v>
      </c>
      <c r="N77" s="3" t="s">
        <v>497</v>
      </c>
      <c r="O77">
        <v>6</v>
      </c>
      <c r="P77" t="s">
        <v>418</v>
      </c>
      <c r="Q77" t="s">
        <v>369</v>
      </c>
      <c r="R77" t="s">
        <v>424</v>
      </c>
    </row>
    <row r="78" spans="1:18" x14ac:dyDescent="0.25">
      <c r="A78" t="s">
        <v>498</v>
      </c>
      <c r="B78" s="10" t="s">
        <v>499</v>
      </c>
      <c r="C78" s="11" t="s">
        <v>500</v>
      </c>
      <c r="D78" s="11" t="s">
        <v>445</v>
      </c>
      <c r="E78" s="11" t="s">
        <v>501</v>
      </c>
      <c r="F78" s="11" t="s">
        <v>39</v>
      </c>
      <c r="G78" s="11" t="s">
        <v>502</v>
      </c>
      <c r="H78" s="12">
        <v>14400</v>
      </c>
      <c r="I78" s="11" t="s">
        <v>67</v>
      </c>
      <c r="J78" s="11" t="s">
        <v>42</v>
      </c>
      <c r="K78" s="11" t="s">
        <v>28</v>
      </c>
      <c r="L78" s="13" t="s">
        <v>29</v>
      </c>
      <c r="M78" s="14">
        <v>1989</v>
      </c>
      <c r="N78" s="3" t="s">
        <v>445</v>
      </c>
      <c r="O78">
        <v>6</v>
      </c>
      <c r="P78" t="s">
        <v>418</v>
      </c>
      <c r="Q78" t="s">
        <v>298</v>
      </c>
      <c r="R78" t="s">
        <v>313</v>
      </c>
    </row>
    <row r="79" spans="1:18" x14ac:dyDescent="0.25">
      <c r="A79" t="s">
        <v>503</v>
      </c>
      <c r="B79" s="10" t="s">
        <v>504</v>
      </c>
      <c r="C79" s="11" t="s">
        <v>505</v>
      </c>
      <c r="D79" s="11" t="s">
        <v>506</v>
      </c>
      <c r="E79" s="11" t="s">
        <v>507</v>
      </c>
      <c r="F79" s="11" t="s">
        <v>39</v>
      </c>
      <c r="G79" s="11" t="s">
        <v>508</v>
      </c>
      <c r="H79" s="12">
        <v>15600</v>
      </c>
      <c r="I79" s="11" t="s">
        <v>26</v>
      </c>
      <c r="J79" s="11" t="s">
        <v>27</v>
      </c>
      <c r="K79" s="11" t="s">
        <v>28</v>
      </c>
      <c r="L79" s="13" t="s">
        <v>29</v>
      </c>
      <c r="M79" s="14">
        <v>1947</v>
      </c>
      <c r="N79" s="3" t="s">
        <v>88</v>
      </c>
      <c r="O79">
        <v>7</v>
      </c>
      <c r="P79" t="s">
        <v>418</v>
      </c>
      <c r="Q79" t="s">
        <v>119</v>
      </c>
      <c r="R79" t="s">
        <v>313</v>
      </c>
    </row>
    <row r="80" spans="1:18" x14ac:dyDescent="0.25">
      <c r="A80" t="s">
        <v>509</v>
      </c>
      <c r="B80" s="10" t="s">
        <v>315</v>
      </c>
      <c r="C80" s="11" t="s">
        <v>316</v>
      </c>
      <c r="D80" s="11" t="s">
        <v>510</v>
      </c>
      <c r="E80" s="11" t="s">
        <v>98</v>
      </c>
      <c r="F80" s="11" t="s">
        <v>39</v>
      </c>
      <c r="G80" s="11" t="s">
        <v>511</v>
      </c>
      <c r="H80" s="12">
        <v>7635</v>
      </c>
      <c r="I80" s="11" t="s">
        <v>26</v>
      </c>
      <c r="J80" s="11" t="s">
        <v>41</v>
      </c>
      <c r="K80" s="11" t="s">
        <v>28</v>
      </c>
      <c r="L80" s="13" t="s">
        <v>29</v>
      </c>
      <c r="M80" s="14">
        <v>1917</v>
      </c>
      <c r="N80" s="3" t="s">
        <v>512</v>
      </c>
      <c r="O80">
        <v>6</v>
      </c>
      <c r="P80" t="s">
        <v>418</v>
      </c>
      <c r="Q80" t="s">
        <v>98</v>
      </c>
      <c r="R80" t="s">
        <v>313</v>
      </c>
    </row>
    <row r="81" spans="1:18" x14ac:dyDescent="0.25">
      <c r="A81" t="s">
        <v>513</v>
      </c>
      <c r="B81" s="10" t="s">
        <v>514</v>
      </c>
      <c r="C81" s="11" t="s">
        <v>515</v>
      </c>
      <c r="D81" s="11" t="s">
        <v>516</v>
      </c>
      <c r="E81" s="11" t="s">
        <v>513</v>
      </c>
      <c r="F81" s="11" t="s">
        <v>39</v>
      </c>
      <c r="G81" s="11" t="s">
        <v>517</v>
      </c>
      <c r="H81" s="12">
        <v>11440</v>
      </c>
      <c r="I81" s="11" t="s">
        <v>67</v>
      </c>
      <c r="J81" s="11" t="s">
        <v>42</v>
      </c>
      <c r="K81" s="11" t="s">
        <v>28</v>
      </c>
      <c r="L81" s="13" t="s">
        <v>29</v>
      </c>
      <c r="M81" s="14">
        <v>1967</v>
      </c>
      <c r="N81" s="3" t="s">
        <v>516</v>
      </c>
      <c r="O81">
        <v>6</v>
      </c>
      <c r="P81" t="s">
        <v>418</v>
      </c>
      <c r="Q81" t="s">
        <v>298</v>
      </c>
      <c r="R81" t="s">
        <v>313</v>
      </c>
    </row>
    <row r="82" spans="1:18" x14ac:dyDescent="0.25">
      <c r="A82" t="s">
        <v>518</v>
      </c>
      <c r="B82" s="10" t="s">
        <v>519</v>
      </c>
      <c r="C82" s="11" t="s">
        <v>520</v>
      </c>
      <c r="D82" s="11" t="s">
        <v>521</v>
      </c>
      <c r="E82" s="11" t="s">
        <v>23</v>
      </c>
      <c r="F82" s="11" t="s">
        <v>24</v>
      </c>
      <c r="G82" s="11" t="s">
        <v>522</v>
      </c>
      <c r="H82" s="12">
        <v>9024</v>
      </c>
      <c r="I82" s="11" t="s">
        <v>26</v>
      </c>
      <c r="J82" s="11" t="s">
        <v>42</v>
      </c>
      <c r="K82" s="11" t="s">
        <v>28</v>
      </c>
      <c r="L82" s="13" t="s">
        <v>29</v>
      </c>
      <c r="M82" s="14">
        <v>1904</v>
      </c>
      <c r="N82" s="3" t="s">
        <v>523</v>
      </c>
      <c r="O82">
        <v>6</v>
      </c>
      <c r="P82" t="s">
        <v>418</v>
      </c>
      <c r="Q82" t="s">
        <v>442</v>
      </c>
      <c r="R82" t="s">
        <v>32</v>
      </c>
    </row>
    <row r="83" spans="1:18" x14ac:dyDescent="0.25">
      <c r="A83" t="s">
        <v>524</v>
      </c>
      <c r="B83" s="10" t="s">
        <v>525</v>
      </c>
      <c r="C83" s="11" t="s">
        <v>462</v>
      </c>
      <c r="D83" s="11" t="s">
        <v>526</v>
      </c>
      <c r="E83" s="11" t="s">
        <v>23</v>
      </c>
      <c r="F83" s="11" t="s">
        <v>24</v>
      </c>
      <c r="G83" s="11" t="s">
        <v>527</v>
      </c>
      <c r="H83" s="12">
        <v>5062</v>
      </c>
      <c r="I83" s="11" t="s">
        <v>67</v>
      </c>
      <c r="J83" s="11" t="s">
        <v>75</v>
      </c>
      <c r="K83" s="11" t="s">
        <v>50</v>
      </c>
      <c r="L83" s="11" t="s">
        <v>117</v>
      </c>
      <c r="M83" s="14">
        <v>1914</v>
      </c>
      <c r="N83" s="3" t="s">
        <v>528</v>
      </c>
      <c r="O83">
        <v>6</v>
      </c>
      <c r="P83" t="s">
        <v>418</v>
      </c>
      <c r="Q83" t="s">
        <v>442</v>
      </c>
      <c r="R83" t="s">
        <v>32</v>
      </c>
    </row>
    <row r="84" spans="1:18" x14ac:dyDescent="0.25">
      <c r="A84" t="s">
        <v>529</v>
      </c>
      <c r="B84" s="10" t="s">
        <v>530</v>
      </c>
      <c r="C84" s="11" t="s">
        <v>531</v>
      </c>
      <c r="D84" s="11" t="s">
        <v>532</v>
      </c>
      <c r="E84" s="11" t="s">
        <v>533</v>
      </c>
      <c r="F84" s="11" t="s">
        <v>211</v>
      </c>
      <c r="G84" s="11" t="s">
        <v>396</v>
      </c>
      <c r="H84" s="12">
        <v>5000</v>
      </c>
      <c r="I84" s="11" t="s">
        <v>67</v>
      </c>
      <c r="J84" s="11" t="s">
        <v>42</v>
      </c>
      <c r="K84" s="11" t="s">
        <v>28</v>
      </c>
      <c r="L84" s="13" t="s">
        <v>29</v>
      </c>
      <c r="M84" s="14">
        <v>1938</v>
      </c>
      <c r="N84" s="3" t="s">
        <v>532</v>
      </c>
      <c r="O84">
        <v>4</v>
      </c>
      <c r="P84" t="s">
        <v>418</v>
      </c>
      <c r="Q84" t="s">
        <v>488</v>
      </c>
      <c r="R84" t="s">
        <v>424</v>
      </c>
    </row>
    <row r="85" spans="1:18" x14ac:dyDescent="0.25">
      <c r="A85" t="s">
        <v>534</v>
      </c>
      <c r="B85" s="10" t="s">
        <v>535</v>
      </c>
      <c r="C85" s="11" t="s">
        <v>536</v>
      </c>
      <c r="D85" s="11" t="s">
        <v>537</v>
      </c>
      <c r="E85" s="11" t="s">
        <v>538</v>
      </c>
      <c r="F85" s="11" t="s">
        <v>333</v>
      </c>
      <c r="G85" s="11" t="s">
        <v>539</v>
      </c>
      <c r="H85" s="12">
        <v>5000</v>
      </c>
      <c r="I85" s="11" t="s">
        <v>41</v>
      </c>
      <c r="J85" s="11" t="s">
        <v>26</v>
      </c>
      <c r="K85" s="11" t="s">
        <v>50</v>
      </c>
      <c r="L85" s="11" t="s">
        <v>42</v>
      </c>
      <c r="M85" s="14">
        <v>1960</v>
      </c>
      <c r="N85" s="3" t="s">
        <v>118</v>
      </c>
      <c r="O85">
        <v>4</v>
      </c>
      <c r="P85" t="s">
        <v>418</v>
      </c>
      <c r="Q85" t="s">
        <v>336</v>
      </c>
      <c r="R85" t="s">
        <v>424</v>
      </c>
    </row>
    <row r="86" spans="1:18" x14ac:dyDescent="0.25">
      <c r="A86" t="s">
        <v>540</v>
      </c>
      <c r="B86" s="10" t="s">
        <v>541</v>
      </c>
      <c r="C86" s="11" t="s">
        <v>542</v>
      </c>
      <c r="D86" s="11" t="s">
        <v>543</v>
      </c>
      <c r="E86" s="11" t="s">
        <v>538</v>
      </c>
      <c r="F86" s="11" t="s">
        <v>333</v>
      </c>
      <c r="G86" s="11" t="s">
        <v>539</v>
      </c>
      <c r="H86" s="12">
        <v>5000</v>
      </c>
      <c r="I86" s="11" t="s">
        <v>26</v>
      </c>
      <c r="J86" s="11" t="s">
        <v>42</v>
      </c>
      <c r="K86" s="11" t="s">
        <v>28</v>
      </c>
      <c r="L86" s="13" t="s">
        <v>29</v>
      </c>
      <c r="M86" s="14">
        <v>1945</v>
      </c>
      <c r="N86" s="3" t="s">
        <v>544</v>
      </c>
      <c r="O86">
        <v>4</v>
      </c>
      <c r="P86" t="s">
        <v>418</v>
      </c>
      <c r="Q86" t="s">
        <v>336</v>
      </c>
      <c r="R86" t="s">
        <v>424</v>
      </c>
    </row>
    <row r="87" spans="1:18" x14ac:dyDescent="0.25">
      <c r="A87" t="s">
        <v>545</v>
      </c>
      <c r="B87" s="10" t="s">
        <v>546</v>
      </c>
      <c r="C87" s="11" t="s">
        <v>547</v>
      </c>
      <c r="D87" s="11" t="s">
        <v>548</v>
      </c>
      <c r="E87" s="11" t="s">
        <v>549</v>
      </c>
      <c r="F87" s="11" t="s">
        <v>39</v>
      </c>
      <c r="G87" s="11" t="s">
        <v>550</v>
      </c>
      <c r="H87" s="12">
        <v>13905</v>
      </c>
      <c r="I87" s="11" t="s">
        <v>26</v>
      </c>
      <c r="J87" s="11" t="s">
        <v>27</v>
      </c>
      <c r="K87" s="11" t="s">
        <v>50</v>
      </c>
      <c r="L87" s="11" t="s">
        <v>42</v>
      </c>
      <c r="M87" s="14">
        <v>1909</v>
      </c>
      <c r="N87" s="3" t="s">
        <v>88</v>
      </c>
      <c r="O87">
        <v>4</v>
      </c>
      <c r="P87" t="s">
        <v>418</v>
      </c>
      <c r="Q87" t="s">
        <v>127</v>
      </c>
      <c r="R87" t="s">
        <v>313</v>
      </c>
    </row>
    <row r="88" spans="1:18" x14ac:dyDescent="0.25">
      <c r="A88" t="s">
        <v>551</v>
      </c>
      <c r="B88" s="10" t="s">
        <v>552</v>
      </c>
      <c r="C88" s="11" t="s">
        <v>220</v>
      </c>
      <c r="D88" s="11" t="s">
        <v>338</v>
      </c>
      <c r="E88" s="11" t="s">
        <v>23</v>
      </c>
      <c r="F88" s="11" t="s">
        <v>24</v>
      </c>
      <c r="G88" s="11" t="s">
        <v>553</v>
      </c>
      <c r="H88" s="12">
        <v>13544</v>
      </c>
      <c r="I88" s="11" t="s">
        <v>26</v>
      </c>
      <c r="J88" s="11" t="s">
        <v>42</v>
      </c>
      <c r="K88" s="11" t="s">
        <v>28</v>
      </c>
      <c r="L88" s="13" t="s">
        <v>29</v>
      </c>
      <c r="M88" s="14">
        <v>1904</v>
      </c>
      <c r="N88" s="3" t="s">
        <v>497</v>
      </c>
      <c r="O88">
        <v>4</v>
      </c>
      <c r="P88" t="s">
        <v>418</v>
      </c>
      <c r="Q88" t="s">
        <v>442</v>
      </c>
      <c r="R88" t="s">
        <v>32</v>
      </c>
    </row>
    <row r="89" spans="1:18" x14ac:dyDescent="0.25">
      <c r="A89" t="s">
        <v>554</v>
      </c>
      <c r="B89" s="10" t="s">
        <v>555</v>
      </c>
      <c r="C89" s="11" t="s">
        <v>309</v>
      </c>
      <c r="D89" s="11" t="s">
        <v>556</v>
      </c>
      <c r="E89" s="11" t="s">
        <v>557</v>
      </c>
      <c r="F89" s="11" t="s">
        <v>24</v>
      </c>
      <c r="G89" s="11" t="s">
        <v>558</v>
      </c>
      <c r="H89" s="12">
        <v>5800</v>
      </c>
      <c r="I89" s="11" t="s">
        <v>67</v>
      </c>
      <c r="J89" s="11" t="s">
        <v>42</v>
      </c>
      <c r="K89" s="11" t="s">
        <v>28</v>
      </c>
      <c r="L89" s="13" t="s">
        <v>29</v>
      </c>
      <c r="M89" s="14">
        <v>1912</v>
      </c>
      <c r="N89" s="3" t="s">
        <v>312</v>
      </c>
      <c r="O89">
        <v>4</v>
      </c>
      <c r="P89" t="s">
        <v>418</v>
      </c>
      <c r="Q89" t="s">
        <v>442</v>
      </c>
      <c r="R89" t="s">
        <v>32</v>
      </c>
    </row>
    <row r="90" spans="1:18" x14ac:dyDescent="0.25">
      <c r="A90" t="s">
        <v>559</v>
      </c>
      <c r="B90" s="10" t="s">
        <v>560</v>
      </c>
      <c r="C90" s="11" t="s">
        <v>220</v>
      </c>
      <c r="D90" s="11" t="s">
        <v>561</v>
      </c>
      <c r="E90" s="11" t="s">
        <v>557</v>
      </c>
      <c r="F90" s="11" t="s">
        <v>24</v>
      </c>
      <c r="G90" s="11" t="s">
        <v>562</v>
      </c>
      <c r="H90" s="12">
        <v>9000</v>
      </c>
      <c r="I90" s="11" t="s">
        <v>27</v>
      </c>
      <c r="J90" s="11" t="s">
        <v>42</v>
      </c>
      <c r="K90" s="11" t="s">
        <v>28</v>
      </c>
      <c r="L90" s="13" t="s">
        <v>29</v>
      </c>
      <c r="M90" s="14">
        <v>1914</v>
      </c>
      <c r="N90" s="3" t="s">
        <v>312</v>
      </c>
      <c r="O90">
        <v>4</v>
      </c>
      <c r="P90" t="s">
        <v>418</v>
      </c>
      <c r="Q90" t="s">
        <v>442</v>
      </c>
      <c r="R90" t="s">
        <v>32</v>
      </c>
    </row>
    <row r="91" spans="1:18" x14ac:dyDescent="0.25">
      <c r="A91" t="s">
        <v>563</v>
      </c>
      <c r="B91" s="10" t="s">
        <v>564</v>
      </c>
      <c r="C91" s="11" t="s">
        <v>565</v>
      </c>
      <c r="D91" s="11" t="s">
        <v>566</v>
      </c>
      <c r="E91" s="11" t="s">
        <v>567</v>
      </c>
      <c r="F91" s="11" t="s">
        <v>39</v>
      </c>
      <c r="G91" s="11" t="s">
        <v>568</v>
      </c>
      <c r="H91" s="12">
        <v>18000</v>
      </c>
      <c r="I91" s="11" t="s">
        <v>27</v>
      </c>
      <c r="J91" s="11" t="s">
        <v>42</v>
      </c>
      <c r="K91" s="11" t="s">
        <v>28</v>
      </c>
      <c r="L91" s="13" t="s">
        <v>29</v>
      </c>
      <c r="M91" s="14">
        <v>1913</v>
      </c>
      <c r="N91" s="3" t="s">
        <v>566</v>
      </c>
      <c r="O91">
        <v>4</v>
      </c>
      <c r="P91" t="s">
        <v>418</v>
      </c>
      <c r="Q91" t="s">
        <v>119</v>
      </c>
      <c r="R91" t="s">
        <v>313</v>
      </c>
    </row>
    <row r="92" spans="1:18" x14ac:dyDescent="0.25">
      <c r="A92" t="s">
        <v>569</v>
      </c>
      <c r="B92" s="10" t="s">
        <v>570</v>
      </c>
      <c r="C92" s="11" t="s">
        <v>571</v>
      </c>
      <c r="D92" s="11" t="s">
        <v>572</v>
      </c>
      <c r="E92" s="11" t="s">
        <v>573</v>
      </c>
      <c r="F92" s="11" t="s">
        <v>90</v>
      </c>
      <c r="G92" s="11" t="s">
        <v>574</v>
      </c>
      <c r="H92" s="12">
        <v>10252</v>
      </c>
      <c r="I92" s="11" t="s">
        <v>41</v>
      </c>
      <c r="J92" s="11" t="s">
        <v>42</v>
      </c>
      <c r="K92" s="11" t="s">
        <v>28</v>
      </c>
      <c r="L92" s="13" t="s">
        <v>29</v>
      </c>
      <c r="M92" s="14">
        <v>1949</v>
      </c>
      <c r="N92" s="3" t="s">
        <v>572</v>
      </c>
      <c r="O92">
        <v>4</v>
      </c>
      <c r="P92" t="s">
        <v>418</v>
      </c>
      <c r="Q92" t="s">
        <v>278</v>
      </c>
      <c r="R92" t="s">
        <v>92</v>
      </c>
    </row>
    <row r="93" spans="1:18" x14ac:dyDescent="0.25">
      <c r="A93" t="s">
        <v>575</v>
      </c>
      <c r="B93" s="10" t="s">
        <v>576</v>
      </c>
      <c r="C93" s="11" t="s">
        <v>575</v>
      </c>
      <c r="D93" s="11" t="s">
        <v>577</v>
      </c>
      <c r="E93" s="11" t="s">
        <v>573</v>
      </c>
      <c r="F93" s="11" t="s">
        <v>90</v>
      </c>
      <c r="G93" s="11" t="s">
        <v>578</v>
      </c>
      <c r="H93" s="12">
        <v>4858</v>
      </c>
      <c r="I93" s="11" t="s">
        <v>67</v>
      </c>
      <c r="J93" s="11" t="s">
        <v>42</v>
      </c>
      <c r="K93" s="11" t="s">
        <v>28</v>
      </c>
      <c r="L93" s="13" t="s">
        <v>29</v>
      </c>
      <c r="M93" s="14">
        <v>1939</v>
      </c>
      <c r="N93" s="3" t="s">
        <v>579</v>
      </c>
      <c r="O93">
        <v>4</v>
      </c>
      <c r="P93" t="s">
        <v>418</v>
      </c>
      <c r="Q93" t="s">
        <v>278</v>
      </c>
      <c r="R93" t="s">
        <v>92</v>
      </c>
    </row>
    <row r="94" spans="1:18" x14ac:dyDescent="0.25">
      <c r="A94" t="s">
        <v>580</v>
      </c>
      <c r="B94" s="10" t="s">
        <v>581</v>
      </c>
      <c r="C94" s="11" t="s">
        <v>582</v>
      </c>
      <c r="D94" s="11" t="s">
        <v>583</v>
      </c>
      <c r="E94" s="11" t="s">
        <v>584</v>
      </c>
      <c r="F94" s="11" t="s">
        <v>39</v>
      </c>
      <c r="G94" s="11" t="s">
        <v>585</v>
      </c>
      <c r="H94" s="12">
        <v>18866</v>
      </c>
      <c r="I94" s="11" t="s">
        <v>26</v>
      </c>
      <c r="J94" s="11" t="s">
        <v>42</v>
      </c>
      <c r="K94" s="11" t="s">
        <v>28</v>
      </c>
      <c r="L94" s="13" t="s">
        <v>29</v>
      </c>
      <c r="M94" s="14">
        <v>1910</v>
      </c>
      <c r="N94" s="3" t="s">
        <v>586</v>
      </c>
      <c r="O94">
        <v>4</v>
      </c>
      <c r="P94" t="s">
        <v>418</v>
      </c>
      <c r="Q94" t="s">
        <v>119</v>
      </c>
      <c r="R94" t="s">
        <v>313</v>
      </c>
    </row>
    <row r="95" spans="1:18" x14ac:dyDescent="0.25">
      <c r="A95" t="s">
        <v>587</v>
      </c>
      <c r="B95" s="10" t="s">
        <v>588</v>
      </c>
      <c r="C95" s="11" t="s">
        <v>589</v>
      </c>
      <c r="D95" s="11" t="s">
        <v>590</v>
      </c>
      <c r="E95" s="11" t="s">
        <v>587</v>
      </c>
      <c r="F95" s="11" t="s">
        <v>401</v>
      </c>
      <c r="G95" s="11" t="s">
        <v>591</v>
      </c>
      <c r="H95" s="12">
        <v>10000</v>
      </c>
      <c r="I95" s="11" t="s">
        <v>26</v>
      </c>
      <c r="J95" s="11" t="s">
        <v>42</v>
      </c>
      <c r="K95" s="11" t="s">
        <v>28</v>
      </c>
      <c r="L95" s="13" t="s">
        <v>29</v>
      </c>
      <c r="M95" s="14">
        <v>1962</v>
      </c>
      <c r="N95" s="3" t="s">
        <v>590</v>
      </c>
      <c r="O95">
        <v>6</v>
      </c>
      <c r="P95" t="s">
        <v>418</v>
      </c>
      <c r="Q95" t="s">
        <v>403</v>
      </c>
      <c r="R95" t="s">
        <v>424</v>
      </c>
    </row>
    <row r="96" spans="1:18" x14ac:dyDescent="0.25">
      <c r="A96" t="s">
        <v>592</v>
      </c>
      <c r="B96" s="10" t="s">
        <v>593</v>
      </c>
      <c r="C96" s="11" t="s">
        <v>95</v>
      </c>
      <c r="D96" s="11" t="s">
        <v>594</v>
      </c>
      <c r="E96" s="11" t="s">
        <v>592</v>
      </c>
      <c r="F96" s="11" t="s">
        <v>407</v>
      </c>
      <c r="G96" s="11" t="s">
        <v>595</v>
      </c>
      <c r="H96" s="12">
        <v>4000</v>
      </c>
      <c r="I96" s="11" t="s">
        <v>27</v>
      </c>
      <c r="J96" s="11" t="s">
        <v>42</v>
      </c>
      <c r="K96" s="11" t="s">
        <v>28</v>
      </c>
      <c r="L96" s="13" t="s">
        <v>29</v>
      </c>
      <c r="M96" s="14">
        <v>1979</v>
      </c>
      <c r="N96" s="3" t="s">
        <v>594</v>
      </c>
      <c r="O96">
        <v>6</v>
      </c>
      <c r="P96" t="s">
        <v>418</v>
      </c>
      <c r="Q96" t="s">
        <v>409</v>
      </c>
      <c r="R96" t="s">
        <v>205</v>
      </c>
    </row>
    <row r="97" spans="1:18" x14ac:dyDescent="0.25">
      <c r="A97" t="s">
        <v>596</v>
      </c>
      <c r="B97" s="10" t="s">
        <v>597</v>
      </c>
      <c r="C97" s="11" t="s">
        <v>598</v>
      </c>
      <c r="D97" s="11" t="s">
        <v>599</v>
      </c>
      <c r="E97" s="11" t="s">
        <v>600</v>
      </c>
      <c r="F97" s="11" t="s">
        <v>109</v>
      </c>
      <c r="G97" s="11" t="s">
        <v>601</v>
      </c>
      <c r="H97" s="12">
        <v>22000</v>
      </c>
      <c r="I97" s="11" t="s">
        <v>117</v>
      </c>
      <c r="J97" s="11" t="s">
        <v>41</v>
      </c>
      <c r="K97" s="11" t="s">
        <v>28</v>
      </c>
      <c r="L97" s="13" t="s">
        <v>29</v>
      </c>
      <c r="M97" s="14">
        <v>1924</v>
      </c>
      <c r="N97" s="3" t="s">
        <v>599</v>
      </c>
      <c r="O97">
        <v>6</v>
      </c>
      <c r="P97" t="s">
        <v>418</v>
      </c>
      <c r="Q97" t="s">
        <v>197</v>
      </c>
      <c r="R97" t="s">
        <v>111</v>
      </c>
    </row>
    <row r="98" spans="1:18" x14ac:dyDescent="0.25">
      <c r="A98" t="s">
        <v>602</v>
      </c>
      <c r="B98" s="10" t="s">
        <v>603</v>
      </c>
      <c r="C98" s="11" t="s">
        <v>604</v>
      </c>
      <c r="D98" s="11" t="s">
        <v>605</v>
      </c>
      <c r="E98" s="11" t="s">
        <v>108</v>
      </c>
      <c r="F98" s="11" t="s">
        <v>109</v>
      </c>
      <c r="G98" s="11" t="s">
        <v>606</v>
      </c>
      <c r="H98" s="12">
        <v>10600</v>
      </c>
      <c r="I98" s="11" t="s">
        <v>67</v>
      </c>
      <c r="J98" s="11" t="s">
        <v>42</v>
      </c>
      <c r="K98" s="11" t="s">
        <v>28</v>
      </c>
      <c r="L98" s="13" t="s">
        <v>29</v>
      </c>
      <c r="M98" s="14">
        <v>1913</v>
      </c>
      <c r="N98" s="3" t="s">
        <v>605</v>
      </c>
      <c r="O98">
        <v>6</v>
      </c>
      <c r="P98" t="s">
        <v>418</v>
      </c>
      <c r="Q98" t="s">
        <v>108</v>
      </c>
      <c r="R98" t="s">
        <v>111</v>
      </c>
    </row>
    <row r="99" spans="1:18" x14ac:dyDescent="0.25">
      <c r="A99" t="s">
        <v>607</v>
      </c>
      <c r="B99" s="10" t="s">
        <v>608</v>
      </c>
      <c r="C99" s="11" t="s">
        <v>609</v>
      </c>
      <c r="D99" s="11" t="s">
        <v>610</v>
      </c>
      <c r="E99" s="11" t="s">
        <v>611</v>
      </c>
      <c r="F99" s="11" t="s">
        <v>612</v>
      </c>
      <c r="G99" s="11" t="s">
        <v>613</v>
      </c>
      <c r="H99" s="12">
        <v>44200</v>
      </c>
      <c r="I99" s="11" t="s">
        <v>27</v>
      </c>
      <c r="J99" s="11" t="s">
        <v>42</v>
      </c>
      <c r="K99" s="11" t="s">
        <v>50</v>
      </c>
      <c r="L99" s="11" t="s">
        <v>26</v>
      </c>
      <c r="M99" s="14">
        <v>1946</v>
      </c>
      <c r="N99" s="3" t="s">
        <v>610</v>
      </c>
      <c r="O99">
        <v>4</v>
      </c>
      <c r="P99" t="s">
        <v>418</v>
      </c>
      <c r="Q99" t="s">
        <v>403</v>
      </c>
      <c r="R99" t="s">
        <v>424</v>
      </c>
    </row>
    <row r="100" spans="1:18" x14ac:dyDescent="0.25">
      <c r="A100" t="s">
        <v>614</v>
      </c>
      <c r="B100" s="10" t="s">
        <v>615</v>
      </c>
      <c r="C100" s="11" t="s">
        <v>616</v>
      </c>
      <c r="D100" s="11" t="s">
        <v>617</v>
      </c>
      <c r="E100" s="11" t="s">
        <v>618</v>
      </c>
      <c r="F100" s="11" t="s">
        <v>65</v>
      </c>
      <c r="G100" s="11" t="s">
        <v>619</v>
      </c>
      <c r="H100" s="12">
        <v>16274</v>
      </c>
      <c r="I100" s="11" t="s">
        <v>41</v>
      </c>
      <c r="J100" s="11" t="s">
        <v>26</v>
      </c>
      <c r="K100" s="11" t="s">
        <v>50</v>
      </c>
      <c r="L100" s="11" t="s">
        <v>42</v>
      </c>
      <c r="M100" s="14">
        <v>1941</v>
      </c>
      <c r="N100" s="3" t="s">
        <v>620</v>
      </c>
      <c r="O100">
        <v>4</v>
      </c>
      <c r="P100" t="s">
        <v>418</v>
      </c>
      <c r="Q100" t="s">
        <v>60</v>
      </c>
      <c r="R100" t="s">
        <v>424</v>
      </c>
    </row>
    <row r="101" spans="1:18" x14ac:dyDescent="0.25">
      <c r="A101" t="s">
        <v>621</v>
      </c>
      <c r="B101" s="10" t="s">
        <v>622</v>
      </c>
      <c r="C101" s="11" t="s">
        <v>623</v>
      </c>
      <c r="D101" s="11" t="s">
        <v>624</v>
      </c>
      <c r="E101" s="11" t="s">
        <v>173</v>
      </c>
      <c r="F101" s="11" t="s">
        <v>174</v>
      </c>
      <c r="G101" s="11" t="s">
        <v>625</v>
      </c>
      <c r="H101" s="12">
        <v>6000</v>
      </c>
      <c r="I101" s="11" t="s">
        <v>41</v>
      </c>
      <c r="J101" s="11" t="s">
        <v>42</v>
      </c>
      <c r="K101" s="11" t="s">
        <v>28</v>
      </c>
      <c r="L101" s="13" t="s">
        <v>29</v>
      </c>
      <c r="M101" s="14">
        <v>1903</v>
      </c>
      <c r="N101" s="3" t="s">
        <v>626</v>
      </c>
      <c r="O101">
        <v>4</v>
      </c>
      <c r="P101" t="s">
        <v>418</v>
      </c>
      <c r="Q101" t="s">
        <v>173</v>
      </c>
      <c r="R101" t="s">
        <v>177</v>
      </c>
    </row>
    <row r="102" spans="1:18" x14ac:dyDescent="0.25">
      <c r="A102" t="s">
        <v>627</v>
      </c>
      <c r="B102" s="10" t="s">
        <v>628</v>
      </c>
      <c r="C102" s="11" t="s">
        <v>629</v>
      </c>
      <c r="D102" s="11" t="s">
        <v>145</v>
      </c>
      <c r="E102" s="11" t="s">
        <v>630</v>
      </c>
      <c r="F102" s="11" t="s">
        <v>226</v>
      </c>
      <c r="G102" s="11" t="s">
        <v>631</v>
      </c>
      <c r="H102" s="12">
        <v>19000</v>
      </c>
      <c r="I102" s="11" t="s">
        <v>26</v>
      </c>
      <c r="J102" s="11" t="s">
        <v>42</v>
      </c>
      <c r="K102" s="11" t="s">
        <v>28</v>
      </c>
      <c r="L102" s="13" t="s">
        <v>29</v>
      </c>
      <c r="M102" s="14">
        <v>1973</v>
      </c>
      <c r="N102" s="3" t="s">
        <v>620</v>
      </c>
      <c r="O102">
        <v>6</v>
      </c>
      <c r="P102" t="s">
        <v>418</v>
      </c>
      <c r="Q102" t="s">
        <v>228</v>
      </c>
      <c r="R102" t="s">
        <v>205</v>
      </c>
    </row>
    <row r="103" spans="1:18" x14ac:dyDescent="0.25">
      <c r="A103" t="s">
        <v>632</v>
      </c>
      <c r="B103" s="10" t="s">
        <v>633</v>
      </c>
      <c r="C103" s="11" t="s">
        <v>114</v>
      </c>
      <c r="D103" s="11" t="s">
        <v>634</v>
      </c>
      <c r="E103" s="11" t="s">
        <v>632</v>
      </c>
      <c r="F103" s="11" t="s">
        <v>133</v>
      </c>
      <c r="G103" s="11" t="s">
        <v>635</v>
      </c>
      <c r="H103" s="12">
        <v>16000</v>
      </c>
      <c r="I103" s="11" t="s">
        <v>27</v>
      </c>
      <c r="J103" s="11" t="s">
        <v>41</v>
      </c>
      <c r="K103" s="11" t="s">
        <v>50</v>
      </c>
      <c r="L103" s="11" t="s">
        <v>42</v>
      </c>
      <c r="M103" s="14">
        <v>2010</v>
      </c>
      <c r="N103" s="3" t="s">
        <v>634</v>
      </c>
      <c r="O103">
        <v>7</v>
      </c>
      <c r="P103" t="s">
        <v>418</v>
      </c>
      <c r="Q103" t="s">
        <v>244</v>
      </c>
      <c r="R103" t="s">
        <v>135</v>
      </c>
    </row>
    <row r="104" spans="1:18" x14ac:dyDescent="0.25">
      <c r="A104" t="s">
        <v>636</v>
      </c>
      <c r="B104" s="10" t="s">
        <v>637</v>
      </c>
      <c r="C104" s="11" t="s">
        <v>281</v>
      </c>
      <c r="D104" s="11" t="s">
        <v>638</v>
      </c>
      <c r="E104" s="11" t="s">
        <v>639</v>
      </c>
      <c r="F104" s="11" t="s">
        <v>153</v>
      </c>
      <c r="G104" s="11" t="s">
        <v>640</v>
      </c>
      <c r="H104" s="12">
        <v>6000</v>
      </c>
      <c r="I104" s="11" t="s">
        <v>67</v>
      </c>
      <c r="J104" s="11" t="s">
        <v>117</v>
      </c>
      <c r="K104" s="11" t="s">
        <v>28</v>
      </c>
      <c r="L104" s="13" t="s">
        <v>29</v>
      </c>
      <c r="M104" s="14">
        <v>2013</v>
      </c>
      <c r="N104" s="3" t="s">
        <v>638</v>
      </c>
      <c r="O104">
        <v>7</v>
      </c>
      <c r="P104" t="s">
        <v>418</v>
      </c>
      <c r="Q104" t="s">
        <v>249</v>
      </c>
      <c r="R104" t="s">
        <v>157</v>
      </c>
    </row>
    <row r="105" spans="1:18" x14ac:dyDescent="0.25">
      <c r="A105" t="s">
        <v>641</v>
      </c>
      <c r="B105" s="10" t="s">
        <v>642</v>
      </c>
      <c r="C105" s="11" t="s">
        <v>643</v>
      </c>
      <c r="D105" s="11" t="s">
        <v>644</v>
      </c>
      <c r="E105" s="11" t="s">
        <v>641</v>
      </c>
      <c r="F105" s="11" t="s">
        <v>367</v>
      </c>
      <c r="G105" s="11" t="s">
        <v>645</v>
      </c>
      <c r="H105" s="12">
        <v>11224</v>
      </c>
      <c r="I105" s="11" t="s">
        <v>67</v>
      </c>
      <c r="J105" s="11" t="s">
        <v>26</v>
      </c>
      <c r="K105" s="11" t="s">
        <v>50</v>
      </c>
      <c r="L105" s="11" t="s">
        <v>42</v>
      </c>
      <c r="M105" s="14">
        <v>1938</v>
      </c>
      <c r="N105" s="3" t="s">
        <v>646</v>
      </c>
      <c r="O105">
        <v>6</v>
      </c>
      <c r="P105" t="s">
        <v>418</v>
      </c>
      <c r="Q105" t="s">
        <v>369</v>
      </c>
      <c r="R105" t="s">
        <v>424</v>
      </c>
    </row>
    <row r="106" spans="1:18" x14ac:dyDescent="0.25">
      <c r="A106" t="s">
        <v>647</v>
      </c>
      <c r="B106" s="10" t="s">
        <v>648</v>
      </c>
      <c r="C106" s="11" t="s">
        <v>649</v>
      </c>
      <c r="D106" s="11" t="s">
        <v>650</v>
      </c>
      <c r="E106" s="11" t="s">
        <v>647</v>
      </c>
      <c r="F106" s="11" t="s">
        <v>211</v>
      </c>
      <c r="G106" s="11" t="s">
        <v>651</v>
      </c>
      <c r="H106" s="12">
        <v>12070</v>
      </c>
      <c r="I106" s="11" t="s">
        <v>41</v>
      </c>
      <c r="J106" s="11" t="s">
        <v>26</v>
      </c>
      <c r="K106" s="11" t="s">
        <v>50</v>
      </c>
      <c r="L106" s="11" t="s">
        <v>42</v>
      </c>
      <c r="M106" s="14">
        <v>1972</v>
      </c>
      <c r="N106" s="3" t="s">
        <v>650</v>
      </c>
      <c r="O106">
        <v>6</v>
      </c>
      <c r="P106" t="s">
        <v>418</v>
      </c>
      <c r="Q106" t="s">
        <v>488</v>
      </c>
      <c r="R106" t="s">
        <v>424</v>
      </c>
    </row>
    <row r="107" spans="1:18" x14ac:dyDescent="0.25">
      <c r="A107" t="s">
        <v>652</v>
      </c>
      <c r="B107" s="10" t="s">
        <v>653</v>
      </c>
      <c r="C107" s="11" t="s">
        <v>654</v>
      </c>
      <c r="D107" s="11" t="s">
        <v>445</v>
      </c>
      <c r="E107" s="11" t="s">
        <v>652</v>
      </c>
      <c r="F107" s="11" t="s">
        <v>182</v>
      </c>
      <c r="G107" s="11" t="s">
        <v>655</v>
      </c>
      <c r="H107" s="12">
        <v>3300</v>
      </c>
      <c r="I107" s="11" t="s">
        <v>67</v>
      </c>
      <c r="J107" s="11" t="s">
        <v>42</v>
      </c>
      <c r="K107" s="11" t="s">
        <v>28</v>
      </c>
      <c r="L107" s="13" t="s">
        <v>29</v>
      </c>
      <c r="M107" s="14">
        <v>2010</v>
      </c>
      <c r="N107" s="3" t="s">
        <v>445</v>
      </c>
      <c r="O107">
        <v>6</v>
      </c>
      <c r="P107" t="s">
        <v>418</v>
      </c>
      <c r="Q107" t="s">
        <v>454</v>
      </c>
      <c r="R107" t="s">
        <v>424</v>
      </c>
    </row>
    <row r="108" spans="1:18" x14ac:dyDescent="0.25">
      <c r="A108" t="s">
        <v>656</v>
      </c>
      <c r="B108" s="10" t="s">
        <v>657</v>
      </c>
      <c r="C108" s="11" t="s">
        <v>658</v>
      </c>
      <c r="D108" s="11" t="s">
        <v>445</v>
      </c>
      <c r="E108" s="11" t="s">
        <v>659</v>
      </c>
      <c r="F108" s="11" t="s">
        <v>174</v>
      </c>
      <c r="G108" s="11" t="s">
        <v>660</v>
      </c>
      <c r="H108" s="12">
        <v>5000</v>
      </c>
      <c r="I108" s="11" t="s">
        <v>67</v>
      </c>
      <c r="J108" s="11" t="s">
        <v>42</v>
      </c>
      <c r="K108" s="11" t="s">
        <v>28</v>
      </c>
      <c r="L108" s="13" t="s">
        <v>29</v>
      </c>
      <c r="M108" s="14">
        <v>1982</v>
      </c>
      <c r="N108" s="3" t="s">
        <v>626</v>
      </c>
      <c r="O108">
        <v>6</v>
      </c>
      <c r="P108" t="s">
        <v>418</v>
      </c>
      <c r="Q108" t="s">
        <v>173</v>
      </c>
      <c r="R108" t="s">
        <v>177</v>
      </c>
    </row>
    <row r="109" spans="1:18" x14ac:dyDescent="0.25">
      <c r="A109" t="s">
        <v>661</v>
      </c>
      <c r="B109" s="15" t="s">
        <v>662</v>
      </c>
      <c r="C109" s="16" t="s">
        <v>220</v>
      </c>
      <c r="D109" s="16" t="s">
        <v>663</v>
      </c>
      <c r="E109" s="16" t="s">
        <v>661</v>
      </c>
      <c r="F109" s="16" t="s">
        <v>203</v>
      </c>
      <c r="G109" s="16" t="s">
        <v>664</v>
      </c>
      <c r="H109" s="17">
        <v>10707</v>
      </c>
      <c r="I109" s="16" t="s">
        <v>26</v>
      </c>
      <c r="J109" s="16" t="s">
        <v>27</v>
      </c>
      <c r="K109" s="16" t="s">
        <v>50</v>
      </c>
      <c r="L109" s="16" t="s">
        <v>42</v>
      </c>
      <c r="M109" s="18">
        <v>1946</v>
      </c>
      <c r="N109" s="4" t="s">
        <v>88</v>
      </c>
      <c r="O109">
        <v>6</v>
      </c>
      <c r="P109" t="s">
        <v>418</v>
      </c>
      <c r="Q109" t="s">
        <v>202</v>
      </c>
      <c r="R109" t="s">
        <v>205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0C43B-B9E0-48B6-920B-AE77AC118324}">
  <dimension ref="A1:O139"/>
  <sheetViews>
    <sheetView tabSelected="1" topLeftCell="A111" workbookViewId="0">
      <selection activeCell="B122" sqref="B122"/>
    </sheetView>
  </sheetViews>
  <sheetFormatPr defaultRowHeight="15" x14ac:dyDescent="0.25"/>
  <cols>
    <col min="1" max="1" width="30.7109375" bestFit="1" customWidth="1"/>
    <col min="2" max="2" width="12" customWidth="1"/>
    <col min="3" max="3" width="30.7109375" customWidth="1"/>
    <col min="4" max="4" width="18.42578125" bestFit="1" customWidth="1"/>
    <col min="5" max="5" width="18.85546875" bestFit="1" customWidth="1"/>
    <col min="6" max="6" width="15.5703125" bestFit="1" customWidth="1"/>
    <col min="7" max="7" width="15" bestFit="1" customWidth="1"/>
    <col min="8" max="8" width="15" customWidth="1"/>
    <col min="9" max="9" width="21.42578125" bestFit="1" customWidth="1"/>
    <col min="11" max="11" width="18.85546875" bestFit="1" customWidth="1"/>
  </cols>
  <sheetData>
    <row r="1" spans="1:15" x14ac:dyDescent="0.25">
      <c r="A1" t="s">
        <v>665</v>
      </c>
      <c r="B1" t="s">
        <v>2</v>
      </c>
      <c r="C1" t="s">
        <v>666</v>
      </c>
      <c r="D1" t="s">
        <v>667</v>
      </c>
      <c r="E1" t="s">
        <v>16</v>
      </c>
      <c r="F1" t="s">
        <v>668</v>
      </c>
      <c r="G1" t="s">
        <v>669</v>
      </c>
      <c r="H1" t="s">
        <v>670</v>
      </c>
      <c r="I1" t="s">
        <v>671</v>
      </c>
      <c r="K1" t="s">
        <v>672</v>
      </c>
      <c r="L1" t="s">
        <v>673</v>
      </c>
      <c r="M1" t="s">
        <v>674</v>
      </c>
      <c r="N1" t="s">
        <v>675</v>
      </c>
      <c r="O1" t="s">
        <v>676</v>
      </c>
    </row>
    <row r="2" spans="1:15" x14ac:dyDescent="0.25">
      <c r="A2" t="s">
        <v>719</v>
      </c>
      <c r="B2" t="s">
        <v>866</v>
      </c>
      <c r="C2" s="19">
        <v>25385</v>
      </c>
      <c r="D2" t="s">
        <v>53</v>
      </c>
      <c r="E2" t="s">
        <v>38</v>
      </c>
      <c r="F2" t="s">
        <v>27</v>
      </c>
      <c r="G2" t="s">
        <v>27</v>
      </c>
      <c r="H2" t="s">
        <v>42</v>
      </c>
      <c r="I2" s="2">
        <v>250</v>
      </c>
      <c r="K2" t="s">
        <v>23</v>
      </c>
      <c r="L2">
        <v>1060</v>
      </c>
      <c r="M2" t="s">
        <v>678</v>
      </c>
      <c r="N2">
        <f>COUNTIF(Tabela2[Mapa],K2)</f>
        <v>8</v>
      </c>
      <c r="O2">
        <v>4</v>
      </c>
    </row>
    <row r="3" spans="1:15" x14ac:dyDescent="0.25">
      <c r="A3" t="s">
        <v>734</v>
      </c>
      <c r="B3" t="s">
        <v>867</v>
      </c>
      <c r="C3" s="19">
        <v>24812</v>
      </c>
      <c r="D3" t="s">
        <v>19</v>
      </c>
      <c r="E3" t="s">
        <v>23</v>
      </c>
      <c r="F3" t="s">
        <v>42</v>
      </c>
      <c r="G3" t="s">
        <v>26</v>
      </c>
      <c r="H3" t="s">
        <v>27</v>
      </c>
      <c r="I3" s="3">
        <v>250</v>
      </c>
      <c r="K3" t="s">
        <v>38</v>
      </c>
      <c r="L3">
        <v>935</v>
      </c>
      <c r="M3" t="s">
        <v>678</v>
      </c>
      <c r="N3">
        <f>COUNTIF(Tabela2[Mapa],K3)</f>
        <v>8</v>
      </c>
      <c r="O3">
        <v>4</v>
      </c>
    </row>
    <row r="4" spans="1:15" x14ac:dyDescent="0.25">
      <c r="A4" t="s">
        <v>690</v>
      </c>
      <c r="B4" t="s">
        <v>848</v>
      </c>
      <c r="C4" s="19">
        <v>30997</v>
      </c>
      <c r="D4" t="s">
        <v>85</v>
      </c>
      <c r="E4" t="s">
        <v>89</v>
      </c>
      <c r="F4" t="s">
        <v>42</v>
      </c>
      <c r="G4" t="s">
        <v>27</v>
      </c>
      <c r="H4" t="s">
        <v>27</v>
      </c>
      <c r="I4" s="3">
        <v>200</v>
      </c>
      <c r="K4" t="s">
        <v>89</v>
      </c>
      <c r="L4">
        <v>530</v>
      </c>
      <c r="M4" t="s">
        <v>678</v>
      </c>
      <c r="N4">
        <f>COUNTIF(Tabela2[Mapa],K4)</f>
        <v>5</v>
      </c>
      <c r="O4">
        <v>3</v>
      </c>
    </row>
    <row r="5" spans="1:15" x14ac:dyDescent="0.25">
      <c r="A5" t="s">
        <v>727</v>
      </c>
      <c r="B5" t="s">
        <v>868</v>
      </c>
      <c r="C5" s="19">
        <v>28281</v>
      </c>
      <c r="D5" t="s">
        <v>93</v>
      </c>
      <c r="E5" t="s">
        <v>89</v>
      </c>
      <c r="F5" t="s">
        <v>42</v>
      </c>
      <c r="G5" t="s">
        <v>67</v>
      </c>
      <c r="H5" t="s">
        <v>67</v>
      </c>
      <c r="I5" s="3">
        <v>200</v>
      </c>
      <c r="K5" t="s">
        <v>210</v>
      </c>
      <c r="L5">
        <v>490</v>
      </c>
      <c r="M5" t="s">
        <v>678</v>
      </c>
      <c r="N5">
        <f>COUNTIF(Tabela2[Mapa],K5)</f>
        <v>5</v>
      </c>
      <c r="O5">
        <v>3</v>
      </c>
    </row>
    <row r="6" spans="1:15" x14ac:dyDescent="0.25">
      <c r="A6" t="s">
        <v>735</v>
      </c>
      <c r="B6" t="s">
        <v>831</v>
      </c>
      <c r="C6" s="19">
        <v>28239</v>
      </c>
      <c r="D6" t="s">
        <v>19</v>
      </c>
      <c r="E6" t="s">
        <v>23</v>
      </c>
      <c r="F6" t="s">
        <v>26</v>
      </c>
      <c r="G6" t="s">
        <v>26</v>
      </c>
      <c r="H6" t="s">
        <v>27</v>
      </c>
      <c r="I6" s="3">
        <v>200</v>
      </c>
      <c r="K6" t="s">
        <v>178</v>
      </c>
      <c r="L6">
        <v>430</v>
      </c>
      <c r="M6" t="s">
        <v>678</v>
      </c>
      <c r="N6">
        <f>COUNTIF(Tabela2[Mapa],K6)</f>
        <v>7</v>
      </c>
      <c r="O6">
        <v>4</v>
      </c>
    </row>
    <row r="7" spans="1:15" x14ac:dyDescent="0.25">
      <c r="A7" t="s">
        <v>765</v>
      </c>
      <c r="B7" t="s">
        <v>870</v>
      </c>
      <c r="C7" s="19">
        <v>30327</v>
      </c>
      <c r="D7" t="s">
        <v>34</v>
      </c>
      <c r="E7" t="s">
        <v>38</v>
      </c>
      <c r="F7" t="s">
        <v>42</v>
      </c>
      <c r="G7" t="s">
        <v>41</v>
      </c>
      <c r="H7" t="s">
        <v>41</v>
      </c>
      <c r="I7" s="3">
        <v>200</v>
      </c>
      <c r="K7" t="s">
        <v>173</v>
      </c>
      <c r="L7">
        <v>390</v>
      </c>
      <c r="M7" t="s">
        <v>684</v>
      </c>
      <c r="N7">
        <f>COUNTIF(Tabela2[Mapa],K7)</f>
        <v>6</v>
      </c>
      <c r="O7">
        <v>4</v>
      </c>
    </row>
    <row r="8" spans="1:15" x14ac:dyDescent="0.25">
      <c r="A8" t="s">
        <v>787</v>
      </c>
      <c r="B8" t="s">
        <v>875</v>
      </c>
      <c r="C8" s="19">
        <v>26497</v>
      </c>
      <c r="D8" t="s">
        <v>38</v>
      </c>
      <c r="E8" t="s">
        <v>38</v>
      </c>
      <c r="F8" t="s">
        <v>42</v>
      </c>
      <c r="G8" t="s">
        <v>42</v>
      </c>
      <c r="H8" t="s">
        <v>26</v>
      </c>
      <c r="I8" s="3">
        <v>200</v>
      </c>
      <c r="K8" t="s">
        <v>132</v>
      </c>
      <c r="L8">
        <v>375</v>
      </c>
      <c r="M8" t="s">
        <v>684</v>
      </c>
      <c r="N8">
        <f>COUNTIF(Tabela2[Mapa],K8)</f>
        <v>5</v>
      </c>
      <c r="O8">
        <v>3</v>
      </c>
    </row>
    <row r="9" spans="1:15" x14ac:dyDescent="0.25">
      <c r="A9" t="s">
        <v>795</v>
      </c>
      <c r="B9" t="s">
        <v>871</v>
      </c>
      <c r="C9" s="19">
        <v>25618</v>
      </c>
      <c r="D9" t="s">
        <v>136</v>
      </c>
      <c r="E9" t="s">
        <v>23</v>
      </c>
      <c r="F9" t="s">
        <v>42</v>
      </c>
      <c r="G9" t="s">
        <v>42</v>
      </c>
      <c r="H9" t="s">
        <v>27</v>
      </c>
      <c r="I9" s="3">
        <v>200</v>
      </c>
      <c r="K9" t="s">
        <v>60</v>
      </c>
      <c r="L9">
        <v>325</v>
      </c>
      <c r="M9" t="s">
        <v>684</v>
      </c>
      <c r="N9">
        <f>COUNTIF(Tabela2[Mapa],K9)</f>
        <v>5</v>
      </c>
      <c r="O9">
        <v>3</v>
      </c>
    </row>
    <row r="10" spans="1:15" x14ac:dyDescent="0.25">
      <c r="A10" t="s">
        <v>713</v>
      </c>
      <c r="B10" t="s">
        <v>850</v>
      </c>
      <c r="C10" s="19">
        <v>30238</v>
      </c>
      <c r="D10" t="s">
        <v>185</v>
      </c>
      <c r="E10" t="s">
        <v>178</v>
      </c>
      <c r="F10" t="s">
        <v>27</v>
      </c>
      <c r="G10" t="s">
        <v>27</v>
      </c>
      <c r="H10" t="s">
        <v>117</v>
      </c>
      <c r="I10" s="3">
        <v>150</v>
      </c>
      <c r="K10" t="s">
        <v>108</v>
      </c>
      <c r="L10">
        <v>300</v>
      </c>
      <c r="M10" t="s">
        <v>684</v>
      </c>
      <c r="N10">
        <f>COUNTIF(Tabela2[Mapa],K10)</f>
        <v>5</v>
      </c>
      <c r="O10">
        <v>3</v>
      </c>
    </row>
    <row r="11" spans="1:15" x14ac:dyDescent="0.25">
      <c r="A11" t="s">
        <v>738</v>
      </c>
      <c r="B11" t="s">
        <v>876</v>
      </c>
      <c r="C11" s="19">
        <v>33286</v>
      </c>
      <c r="D11" t="s">
        <v>178</v>
      </c>
      <c r="E11" t="s">
        <v>178</v>
      </c>
      <c r="F11" t="s">
        <v>42</v>
      </c>
      <c r="G11" t="s">
        <v>42</v>
      </c>
      <c r="H11" t="s">
        <v>67</v>
      </c>
      <c r="I11" s="3">
        <v>150</v>
      </c>
      <c r="K11" t="s">
        <v>202</v>
      </c>
      <c r="L11">
        <v>290</v>
      </c>
      <c r="M11" t="s">
        <v>684</v>
      </c>
      <c r="N11">
        <f>COUNTIF(Tabela2[Mapa],K11)</f>
        <v>4</v>
      </c>
      <c r="O11">
        <v>4</v>
      </c>
    </row>
    <row r="12" spans="1:15" x14ac:dyDescent="0.25">
      <c r="A12" t="s">
        <v>780</v>
      </c>
      <c r="B12" t="s">
        <v>877</v>
      </c>
      <c r="C12" s="19">
        <v>33719</v>
      </c>
      <c r="D12" t="s">
        <v>284</v>
      </c>
      <c r="E12" t="s">
        <v>210</v>
      </c>
      <c r="F12" t="s">
        <v>42</v>
      </c>
      <c r="G12" t="s">
        <v>42</v>
      </c>
      <c r="H12" t="s">
        <v>27</v>
      </c>
      <c r="I12" s="3">
        <v>150</v>
      </c>
      <c r="K12" t="s">
        <v>306</v>
      </c>
      <c r="L12">
        <v>260</v>
      </c>
      <c r="M12" t="s">
        <v>684</v>
      </c>
      <c r="N12">
        <f>COUNTIF(Tabela2[Mapa],K12)</f>
        <v>5</v>
      </c>
      <c r="O12">
        <v>4</v>
      </c>
    </row>
    <row r="13" spans="1:15" x14ac:dyDescent="0.25">
      <c r="A13" t="s">
        <v>791</v>
      </c>
      <c r="B13" t="s">
        <v>878</v>
      </c>
      <c r="C13" s="19">
        <v>34990</v>
      </c>
      <c r="D13" t="s">
        <v>206</v>
      </c>
      <c r="E13" t="s">
        <v>210</v>
      </c>
      <c r="F13" t="s">
        <v>117</v>
      </c>
      <c r="G13" t="s">
        <v>117</v>
      </c>
      <c r="H13" t="s">
        <v>26</v>
      </c>
      <c r="I13" s="3">
        <v>150</v>
      </c>
      <c r="K13" t="s">
        <v>197</v>
      </c>
      <c r="L13">
        <v>260</v>
      </c>
      <c r="M13" t="s">
        <v>684</v>
      </c>
      <c r="N13">
        <f>COUNTIF(Tabela2[Mapa],K13)</f>
        <v>5</v>
      </c>
      <c r="O13">
        <v>5</v>
      </c>
    </row>
    <row r="14" spans="1:15" x14ac:dyDescent="0.25">
      <c r="A14" t="s">
        <v>696</v>
      </c>
      <c r="B14" t="s">
        <v>849</v>
      </c>
      <c r="C14" s="19">
        <v>28491</v>
      </c>
      <c r="D14" t="s">
        <v>60</v>
      </c>
      <c r="E14" t="s">
        <v>60</v>
      </c>
      <c r="F14" t="s">
        <v>42</v>
      </c>
      <c r="G14" t="s">
        <v>694</v>
      </c>
      <c r="H14" t="s">
        <v>26</v>
      </c>
      <c r="I14" s="3">
        <v>140</v>
      </c>
      <c r="K14" t="s">
        <v>336</v>
      </c>
      <c r="L14">
        <v>245</v>
      </c>
      <c r="M14" t="s">
        <v>684</v>
      </c>
      <c r="N14">
        <f>COUNTIF(Tabela2[Mapa],K14)</f>
        <v>5</v>
      </c>
      <c r="O14">
        <v>4</v>
      </c>
    </row>
    <row r="15" spans="1:15" x14ac:dyDescent="0.25">
      <c r="A15" t="s">
        <v>744</v>
      </c>
      <c r="B15" t="s">
        <v>872</v>
      </c>
      <c r="C15" s="19">
        <v>28421</v>
      </c>
      <c r="D15" t="s">
        <v>104</v>
      </c>
      <c r="E15" t="s">
        <v>108</v>
      </c>
      <c r="F15" t="s">
        <v>67</v>
      </c>
      <c r="G15" t="s">
        <v>27</v>
      </c>
      <c r="H15" t="s">
        <v>42</v>
      </c>
      <c r="I15" s="3">
        <v>140</v>
      </c>
      <c r="K15" t="s">
        <v>257</v>
      </c>
      <c r="L15">
        <v>225</v>
      </c>
      <c r="M15" t="s">
        <v>684</v>
      </c>
      <c r="N15">
        <f>COUNTIF(Tabela2[Mapa],K15)</f>
        <v>5</v>
      </c>
      <c r="O15">
        <v>3</v>
      </c>
    </row>
    <row r="16" spans="1:15" x14ac:dyDescent="0.25">
      <c r="A16" t="s">
        <v>750</v>
      </c>
      <c r="B16" t="s">
        <v>879</v>
      </c>
      <c r="C16" s="19">
        <v>25488</v>
      </c>
      <c r="D16" t="s">
        <v>142</v>
      </c>
      <c r="E16" t="s">
        <v>108</v>
      </c>
      <c r="F16" t="s">
        <v>42</v>
      </c>
      <c r="G16" t="s">
        <v>26</v>
      </c>
      <c r="H16" t="s">
        <v>26</v>
      </c>
      <c r="I16" s="3">
        <v>140</v>
      </c>
      <c r="K16" t="s">
        <v>369</v>
      </c>
      <c r="L16">
        <v>220</v>
      </c>
      <c r="M16" t="s">
        <v>684</v>
      </c>
      <c r="N16">
        <f>COUNTIF(Tabela2[Mapa],K16)</f>
        <v>4</v>
      </c>
      <c r="O16">
        <v>3</v>
      </c>
    </row>
    <row r="17" spans="1:15" x14ac:dyDescent="0.25">
      <c r="A17" t="s">
        <v>768</v>
      </c>
      <c r="B17" t="s">
        <v>880</v>
      </c>
      <c r="C17" s="19">
        <v>32675</v>
      </c>
      <c r="D17" t="s">
        <v>323</v>
      </c>
      <c r="E17" t="s">
        <v>173</v>
      </c>
      <c r="F17" t="s">
        <v>694</v>
      </c>
      <c r="G17" t="s">
        <v>42</v>
      </c>
      <c r="H17" t="s">
        <v>42</v>
      </c>
      <c r="I17" s="3">
        <v>140</v>
      </c>
      <c r="K17" t="s">
        <v>249</v>
      </c>
      <c r="L17">
        <v>180</v>
      </c>
      <c r="M17" t="s">
        <v>697</v>
      </c>
      <c r="N17">
        <f>COUNTIF(Tabela2[Mapa],K17)</f>
        <v>3</v>
      </c>
      <c r="O17">
        <v>3</v>
      </c>
    </row>
    <row r="18" spans="1:15" x14ac:dyDescent="0.25">
      <c r="A18" t="s">
        <v>774</v>
      </c>
      <c r="B18" t="s">
        <v>881</v>
      </c>
      <c r="C18" s="19">
        <v>32598</v>
      </c>
      <c r="D18" t="s">
        <v>169</v>
      </c>
      <c r="E18" t="s">
        <v>173</v>
      </c>
      <c r="F18" t="s">
        <v>775</v>
      </c>
      <c r="G18" t="s">
        <v>775</v>
      </c>
      <c r="H18" t="s">
        <v>42</v>
      </c>
      <c r="I18" s="3">
        <v>140</v>
      </c>
      <c r="K18" t="s">
        <v>127</v>
      </c>
      <c r="L18">
        <v>180</v>
      </c>
      <c r="M18" t="s">
        <v>697</v>
      </c>
      <c r="N18">
        <f>COUNTIF(Tabela2[Mapa],K18)</f>
        <v>4</v>
      </c>
      <c r="O18">
        <v>4</v>
      </c>
    </row>
    <row r="19" spans="1:15" x14ac:dyDescent="0.25">
      <c r="A19" t="s">
        <v>722</v>
      </c>
      <c r="B19" t="s">
        <v>882</v>
      </c>
      <c r="C19" s="19">
        <v>28400</v>
      </c>
      <c r="D19" t="s">
        <v>158</v>
      </c>
      <c r="E19" t="s">
        <v>132</v>
      </c>
      <c r="F19" t="s">
        <v>41</v>
      </c>
      <c r="G19" t="s">
        <v>41</v>
      </c>
      <c r="H19" t="s">
        <v>42</v>
      </c>
      <c r="I19" s="3">
        <v>130</v>
      </c>
      <c r="K19" t="s">
        <v>409</v>
      </c>
      <c r="L19">
        <v>180</v>
      </c>
      <c r="M19" t="s">
        <v>697</v>
      </c>
      <c r="N19">
        <f>COUNTIF(Tabela2[Mapa],K19)</f>
        <v>3</v>
      </c>
      <c r="O19">
        <v>3</v>
      </c>
    </row>
    <row r="20" spans="1:15" x14ac:dyDescent="0.25">
      <c r="A20" t="s">
        <v>688</v>
      </c>
      <c r="B20" t="s">
        <v>847</v>
      </c>
      <c r="C20" s="19">
        <v>28422</v>
      </c>
      <c r="D20" t="s">
        <v>128</v>
      </c>
      <c r="E20" t="s">
        <v>132</v>
      </c>
      <c r="F20" t="s">
        <v>26</v>
      </c>
      <c r="G20" t="s">
        <v>27</v>
      </c>
      <c r="H20" t="s">
        <v>27</v>
      </c>
      <c r="I20" s="3">
        <v>120</v>
      </c>
      <c r="K20" t="s">
        <v>119</v>
      </c>
      <c r="L20">
        <v>160</v>
      </c>
      <c r="M20" t="s">
        <v>697</v>
      </c>
      <c r="N20">
        <f>COUNTIF(Tabela2[Mapa],K20)</f>
        <v>7</v>
      </c>
      <c r="O20">
        <v>7</v>
      </c>
    </row>
    <row r="21" spans="1:15" x14ac:dyDescent="0.25">
      <c r="A21" t="s">
        <v>701</v>
      </c>
      <c r="B21" t="s">
        <v>856</v>
      </c>
      <c r="C21" s="19">
        <v>37063</v>
      </c>
      <c r="D21" t="s">
        <v>78</v>
      </c>
      <c r="E21" t="s">
        <v>23</v>
      </c>
      <c r="F21" t="s">
        <v>27</v>
      </c>
      <c r="G21" t="s">
        <v>117</v>
      </c>
      <c r="H21" t="s">
        <v>42</v>
      </c>
      <c r="I21" s="3">
        <v>120</v>
      </c>
      <c r="K21" t="s">
        <v>156</v>
      </c>
      <c r="L21">
        <v>150</v>
      </c>
      <c r="M21" t="s">
        <v>697</v>
      </c>
      <c r="N21">
        <f>COUNTIF(Tabela2[Mapa],K21)</f>
        <v>3</v>
      </c>
      <c r="O21">
        <v>3</v>
      </c>
    </row>
    <row r="22" spans="1:15" x14ac:dyDescent="0.25">
      <c r="A22" t="s">
        <v>736</v>
      </c>
      <c r="B22" t="s">
        <v>883</v>
      </c>
      <c r="C22" s="19">
        <v>25914</v>
      </c>
      <c r="D22" t="s">
        <v>71</v>
      </c>
      <c r="E22" t="s">
        <v>23</v>
      </c>
      <c r="F22" t="s">
        <v>42</v>
      </c>
      <c r="G22" t="s">
        <v>41</v>
      </c>
      <c r="H22" t="s">
        <v>41</v>
      </c>
      <c r="I22" s="3">
        <v>120</v>
      </c>
      <c r="K22" t="s">
        <v>98</v>
      </c>
      <c r="L22">
        <v>150</v>
      </c>
      <c r="M22" t="s">
        <v>697</v>
      </c>
      <c r="N22">
        <f>COUNTIF(Tabela2[Mapa],K22)</f>
        <v>3</v>
      </c>
      <c r="O22">
        <v>2</v>
      </c>
    </row>
    <row r="23" spans="1:15" x14ac:dyDescent="0.25">
      <c r="A23" t="s">
        <v>741</v>
      </c>
      <c r="B23" t="s">
        <v>873</v>
      </c>
      <c r="C23" s="19">
        <v>35573</v>
      </c>
      <c r="D23" t="s">
        <v>198</v>
      </c>
      <c r="E23" t="s">
        <v>202</v>
      </c>
      <c r="F23" t="s">
        <v>41</v>
      </c>
      <c r="G23" t="s">
        <v>41</v>
      </c>
      <c r="H23" t="s">
        <v>42</v>
      </c>
      <c r="I23" s="3">
        <v>120</v>
      </c>
      <c r="K23" t="s">
        <v>442</v>
      </c>
      <c r="L23">
        <v>130</v>
      </c>
      <c r="M23" t="s">
        <v>697</v>
      </c>
      <c r="N23">
        <f>COUNTIF(Tabela2[Mapa],K23)</f>
        <v>6</v>
      </c>
      <c r="O23">
        <v>6</v>
      </c>
    </row>
    <row r="24" spans="1:15" x14ac:dyDescent="0.25">
      <c r="A24" t="s">
        <v>783</v>
      </c>
      <c r="B24" t="s">
        <v>878</v>
      </c>
      <c r="C24" s="19">
        <v>25472</v>
      </c>
      <c r="D24" t="s">
        <v>98</v>
      </c>
      <c r="E24" t="s">
        <v>98</v>
      </c>
      <c r="F24" t="s">
        <v>42</v>
      </c>
      <c r="G24" t="s">
        <v>42</v>
      </c>
      <c r="H24" t="s">
        <v>27</v>
      </c>
      <c r="I24" s="3">
        <v>120</v>
      </c>
      <c r="K24" t="s">
        <v>705</v>
      </c>
      <c r="L24">
        <v>130</v>
      </c>
      <c r="M24" t="s">
        <v>697</v>
      </c>
      <c r="N24">
        <f>COUNTIF(Tabela2[Mapa],K24)</f>
        <v>5</v>
      </c>
      <c r="O24">
        <v>4</v>
      </c>
    </row>
    <row r="25" spans="1:15" x14ac:dyDescent="0.25">
      <c r="A25" t="s">
        <v>761</v>
      </c>
      <c r="B25" t="s">
        <v>884</v>
      </c>
      <c r="C25" s="19">
        <v>30717</v>
      </c>
      <c r="D25" t="s">
        <v>258</v>
      </c>
      <c r="E25" t="s">
        <v>210</v>
      </c>
      <c r="F25" t="s">
        <v>26</v>
      </c>
      <c r="G25" t="s">
        <v>42</v>
      </c>
      <c r="H25" t="s">
        <v>42</v>
      </c>
      <c r="I25" s="3">
        <v>100</v>
      </c>
      <c r="K25" t="s">
        <v>352</v>
      </c>
      <c r="L25">
        <v>120</v>
      </c>
      <c r="M25" t="s">
        <v>697</v>
      </c>
      <c r="N25">
        <f>COUNTIF(Tabela2[Mapa],K25)</f>
        <v>4</v>
      </c>
      <c r="O25">
        <v>4</v>
      </c>
    </row>
    <row r="26" spans="1:15" x14ac:dyDescent="0.25">
      <c r="A26" t="s">
        <v>797</v>
      </c>
      <c r="B26" t="s">
        <v>885</v>
      </c>
      <c r="C26" s="19">
        <v>34502</v>
      </c>
      <c r="D26" t="s">
        <v>263</v>
      </c>
      <c r="E26" t="s">
        <v>202</v>
      </c>
      <c r="F26" t="s">
        <v>42</v>
      </c>
      <c r="G26" t="s">
        <v>26</v>
      </c>
      <c r="H26" t="s">
        <v>26</v>
      </c>
      <c r="I26" s="3">
        <v>100</v>
      </c>
      <c r="K26" t="s">
        <v>244</v>
      </c>
      <c r="L26">
        <v>120</v>
      </c>
      <c r="M26" t="s">
        <v>697</v>
      </c>
      <c r="N26">
        <f>COUNTIF(Tabela2[Mapa],K26)</f>
        <v>3</v>
      </c>
      <c r="O26">
        <v>3</v>
      </c>
    </row>
    <row r="27" spans="1:15" x14ac:dyDescent="0.25">
      <c r="A27" t="s">
        <v>798</v>
      </c>
      <c r="B27" t="s">
        <v>886</v>
      </c>
      <c r="C27" s="19">
        <v>35723</v>
      </c>
      <c r="D27" t="s">
        <v>164</v>
      </c>
      <c r="E27" t="s">
        <v>60</v>
      </c>
      <c r="F27" t="s">
        <v>42</v>
      </c>
      <c r="G27" t="s">
        <v>27</v>
      </c>
      <c r="H27" t="s">
        <v>26</v>
      </c>
      <c r="I27" s="3">
        <v>100</v>
      </c>
      <c r="K27" t="s">
        <v>488</v>
      </c>
      <c r="L27">
        <v>110</v>
      </c>
      <c r="M27" t="s">
        <v>697</v>
      </c>
      <c r="N27">
        <f>COUNTIF(Tabela2[Mapa],K27)</f>
        <v>3</v>
      </c>
      <c r="O27">
        <v>3</v>
      </c>
    </row>
    <row r="28" spans="1:15" x14ac:dyDescent="0.25">
      <c r="A28" t="s">
        <v>677</v>
      </c>
      <c r="B28" t="s">
        <v>829</v>
      </c>
      <c r="C28" s="19">
        <v>33289</v>
      </c>
      <c r="D28" t="s">
        <v>329</v>
      </c>
      <c r="E28" t="s">
        <v>336</v>
      </c>
      <c r="F28" t="s">
        <v>42</v>
      </c>
      <c r="G28" t="s">
        <v>42</v>
      </c>
      <c r="H28" t="s">
        <v>27</v>
      </c>
      <c r="I28" s="3">
        <v>90</v>
      </c>
      <c r="K28" t="s">
        <v>454</v>
      </c>
      <c r="L28">
        <v>100</v>
      </c>
      <c r="M28" t="s">
        <v>697</v>
      </c>
      <c r="N28">
        <f>COUNTIF(Tabela2[Mapa],K28)</f>
        <v>3</v>
      </c>
      <c r="O28">
        <v>3</v>
      </c>
    </row>
    <row r="29" spans="1:15" x14ac:dyDescent="0.25">
      <c r="A29" t="s">
        <v>683</v>
      </c>
      <c r="B29" t="s">
        <v>840</v>
      </c>
      <c r="C29" s="19">
        <v>33340</v>
      </c>
      <c r="D29" t="s">
        <v>337</v>
      </c>
      <c r="E29" t="s">
        <v>336</v>
      </c>
      <c r="F29" t="s">
        <v>26</v>
      </c>
      <c r="G29" t="s">
        <v>42</v>
      </c>
      <c r="H29" t="s">
        <v>26</v>
      </c>
      <c r="I29" s="3">
        <v>90</v>
      </c>
      <c r="K29" t="s">
        <v>228</v>
      </c>
      <c r="L29">
        <v>70</v>
      </c>
      <c r="M29" t="s">
        <v>697</v>
      </c>
      <c r="N29">
        <f>COUNTIF(Tabela2[Mapa],K29)</f>
        <v>3</v>
      </c>
      <c r="O29">
        <v>3</v>
      </c>
    </row>
    <row r="30" spans="1:15" x14ac:dyDescent="0.25">
      <c r="A30" t="s">
        <v>740</v>
      </c>
      <c r="B30" t="s">
        <v>874</v>
      </c>
      <c r="C30" s="19">
        <v>37683</v>
      </c>
      <c r="D30" t="s">
        <v>404</v>
      </c>
      <c r="E30" t="s">
        <v>409</v>
      </c>
      <c r="F30" t="s">
        <v>41</v>
      </c>
      <c r="G30" t="s">
        <v>41</v>
      </c>
      <c r="H30" t="s">
        <v>42</v>
      </c>
      <c r="I30" s="3">
        <v>90</v>
      </c>
      <c r="K30" t="s">
        <v>278</v>
      </c>
      <c r="L30">
        <v>60</v>
      </c>
      <c r="M30" t="s">
        <v>697</v>
      </c>
      <c r="N30">
        <f>COUNTIF(Tabela2[Mapa],K30)</f>
        <v>3</v>
      </c>
      <c r="O30">
        <v>3</v>
      </c>
    </row>
    <row r="31" spans="1:15" x14ac:dyDescent="0.25">
      <c r="A31" t="s">
        <v>693</v>
      </c>
      <c r="B31" t="s">
        <v>837</v>
      </c>
      <c r="C31" s="19">
        <v>34751</v>
      </c>
      <c r="D31" t="s">
        <v>245</v>
      </c>
      <c r="E31" t="s">
        <v>249</v>
      </c>
      <c r="F31" t="s">
        <v>42</v>
      </c>
      <c r="G31" t="s">
        <v>694</v>
      </c>
      <c r="H31" t="s">
        <v>695</v>
      </c>
      <c r="I31" s="3">
        <v>80</v>
      </c>
      <c r="K31" t="s">
        <v>298</v>
      </c>
      <c r="L31">
        <v>60</v>
      </c>
      <c r="M31" t="s">
        <v>697</v>
      </c>
      <c r="N31">
        <f>COUNTIF(Tabela2[Mapa],K31)</f>
        <v>3</v>
      </c>
      <c r="O31">
        <v>3</v>
      </c>
    </row>
    <row r="32" spans="1:15" x14ac:dyDescent="0.25">
      <c r="A32" t="s">
        <v>702</v>
      </c>
      <c r="B32" t="s">
        <v>857</v>
      </c>
      <c r="C32" s="19">
        <v>25455</v>
      </c>
      <c r="D32" t="s">
        <v>78</v>
      </c>
      <c r="E32" t="s">
        <v>23</v>
      </c>
      <c r="F32" t="s">
        <v>42</v>
      </c>
      <c r="G32" t="s">
        <v>27</v>
      </c>
      <c r="H32" t="s">
        <v>27</v>
      </c>
      <c r="I32" s="3">
        <v>80</v>
      </c>
    </row>
    <row r="33" spans="1:9" x14ac:dyDescent="0.25">
      <c r="A33" t="s">
        <v>724</v>
      </c>
      <c r="B33" t="s">
        <v>887</v>
      </c>
      <c r="C33" s="19">
        <v>34192</v>
      </c>
      <c r="D33" t="s">
        <v>250</v>
      </c>
      <c r="E33" t="s">
        <v>257</v>
      </c>
      <c r="F33" t="s">
        <v>26</v>
      </c>
      <c r="G33" t="s">
        <v>26</v>
      </c>
      <c r="H33" t="s">
        <v>42</v>
      </c>
      <c r="I33" s="3">
        <v>80</v>
      </c>
    </row>
    <row r="34" spans="1:9" x14ac:dyDescent="0.25">
      <c r="A34" t="s">
        <v>730</v>
      </c>
      <c r="B34" t="s">
        <v>853</v>
      </c>
      <c r="C34" s="19">
        <v>33900</v>
      </c>
      <c r="D34" t="s">
        <v>443</v>
      </c>
      <c r="E34" t="s">
        <v>257</v>
      </c>
      <c r="F34" t="s">
        <v>42</v>
      </c>
      <c r="G34" t="s">
        <v>694</v>
      </c>
      <c r="H34" t="s">
        <v>694</v>
      </c>
      <c r="I34" s="3">
        <v>80</v>
      </c>
    </row>
    <row r="35" spans="1:9" x14ac:dyDescent="0.25">
      <c r="A35" t="s">
        <v>745</v>
      </c>
      <c r="B35" t="s">
        <v>896</v>
      </c>
      <c r="C35" s="19">
        <v>34241</v>
      </c>
      <c r="D35" t="s">
        <v>307</v>
      </c>
      <c r="E35" t="s">
        <v>127</v>
      </c>
      <c r="F35" t="s">
        <v>42</v>
      </c>
      <c r="G35" t="s">
        <v>41</v>
      </c>
      <c r="H35" t="s">
        <v>41</v>
      </c>
      <c r="I35" s="3">
        <v>80</v>
      </c>
    </row>
    <row r="36" spans="1:9" x14ac:dyDescent="0.25">
      <c r="A36" t="s">
        <v>752</v>
      </c>
      <c r="B36" t="s">
        <v>891</v>
      </c>
      <c r="C36" s="19">
        <v>32993</v>
      </c>
      <c r="D36" t="s">
        <v>190</v>
      </c>
      <c r="E36" t="s">
        <v>197</v>
      </c>
      <c r="F36" t="s">
        <v>42</v>
      </c>
      <c r="G36" t="s">
        <v>41</v>
      </c>
      <c r="H36" t="s">
        <v>41</v>
      </c>
      <c r="I36" s="3">
        <v>80</v>
      </c>
    </row>
    <row r="37" spans="1:9" x14ac:dyDescent="0.25">
      <c r="A37" t="s">
        <v>745</v>
      </c>
      <c r="B37" t="s">
        <v>889</v>
      </c>
      <c r="C37" s="19">
        <v>34241</v>
      </c>
      <c r="D37" t="s">
        <v>370</v>
      </c>
      <c r="E37" t="s">
        <v>132</v>
      </c>
      <c r="F37" t="s">
        <v>42</v>
      </c>
      <c r="G37" t="s">
        <v>42</v>
      </c>
      <c r="H37" t="s">
        <v>67</v>
      </c>
      <c r="I37" s="3">
        <v>80</v>
      </c>
    </row>
    <row r="38" spans="1:9" x14ac:dyDescent="0.25">
      <c r="A38" t="s">
        <v>720</v>
      </c>
      <c r="B38" t="s">
        <v>879</v>
      </c>
      <c r="C38" s="19">
        <v>26153</v>
      </c>
      <c r="D38" t="s">
        <v>53</v>
      </c>
      <c r="E38" t="s">
        <v>38</v>
      </c>
      <c r="F38" t="s">
        <v>42</v>
      </c>
      <c r="G38" t="s">
        <v>27</v>
      </c>
      <c r="H38" t="s">
        <v>708</v>
      </c>
      <c r="I38" s="3">
        <v>75</v>
      </c>
    </row>
    <row r="39" spans="1:9" x14ac:dyDescent="0.25">
      <c r="A39" t="s">
        <v>710</v>
      </c>
      <c r="B39" t="s">
        <v>842</v>
      </c>
      <c r="C39" s="19">
        <v>37031</v>
      </c>
      <c r="D39" t="s">
        <v>455</v>
      </c>
      <c r="E39" t="s">
        <v>409</v>
      </c>
      <c r="F39" t="s">
        <v>117</v>
      </c>
      <c r="G39" t="s">
        <v>42</v>
      </c>
      <c r="H39" t="s">
        <v>42</v>
      </c>
      <c r="I39" s="3">
        <v>70</v>
      </c>
    </row>
    <row r="40" spans="1:9" x14ac:dyDescent="0.25">
      <c r="A40" t="s">
        <v>577</v>
      </c>
      <c r="B40" t="s">
        <v>898</v>
      </c>
      <c r="C40" s="19">
        <v>31585</v>
      </c>
      <c r="D40" t="s">
        <v>362</v>
      </c>
      <c r="E40" t="s">
        <v>369</v>
      </c>
      <c r="F40" t="s">
        <v>67</v>
      </c>
      <c r="G40" t="s">
        <v>42</v>
      </c>
      <c r="H40" t="s">
        <v>42</v>
      </c>
      <c r="I40" s="3">
        <v>70</v>
      </c>
    </row>
    <row r="41" spans="1:9" x14ac:dyDescent="0.25">
      <c r="A41" t="s">
        <v>733</v>
      </c>
      <c r="B41" t="s">
        <v>900</v>
      </c>
      <c r="C41" s="19">
        <v>33335</v>
      </c>
      <c r="D41" t="s">
        <v>340</v>
      </c>
      <c r="E41" t="s">
        <v>249</v>
      </c>
      <c r="F41" t="s">
        <v>42</v>
      </c>
      <c r="G41" t="s">
        <v>27</v>
      </c>
      <c r="H41" t="s">
        <v>27</v>
      </c>
      <c r="I41" s="3">
        <v>70</v>
      </c>
    </row>
    <row r="42" spans="1:9" x14ac:dyDescent="0.25">
      <c r="A42" t="s">
        <v>779</v>
      </c>
      <c r="B42" t="s">
        <v>899</v>
      </c>
      <c r="C42" s="19">
        <v>36662</v>
      </c>
      <c r="D42" t="s">
        <v>397</v>
      </c>
      <c r="E42" t="s">
        <v>705</v>
      </c>
      <c r="F42" t="s">
        <v>117</v>
      </c>
      <c r="G42" t="s">
        <v>117</v>
      </c>
      <c r="H42" t="s">
        <v>26</v>
      </c>
      <c r="I42" s="3">
        <v>70</v>
      </c>
    </row>
    <row r="43" spans="1:9" x14ac:dyDescent="0.25">
      <c r="A43" t="s">
        <v>789</v>
      </c>
      <c r="B43" t="s">
        <v>901</v>
      </c>
      <c r="C43" s="19">
        <v>34189</v>
      </c>
      <c r="D43" t="s">
        <v>369</v>
      </c>
      <c r="E43" t="s">
        <v>369</v>
      </c>
      <c r="F43" t="s">
        <v>26</v>
      </c>
      <c r="G43" t="s">
        <v>42</v>
      </c>
      <c r="H43" t="s">
        <v>42</v>
      </c>
      <c r="I43" s="3">
        <v>70</v>
      </c>
    </row>
    <row r="44" spans="1:9" x14ac:dyDescent="0.25">
      <c r="A44" t="s">
        <v>703</v>
      </c>
      <c r="B44" t="s">
        <v>861</v>
      </c>
      <c r="C44" s="19">
        <v>39675</v>
      </c>
      <c r="D44" t="s">
        <v>299</v>
      </c>
      <c r="E44" t="s">
        <v>306</v>
      </c>
      <c r="F44" t="s">
        <v>27</v>
      </c>
      <c r="G44" t="s">
        <v>27</v>
      </c>
      <c r="H44" t="s">
        <v>42</v>
      </c>
      <c r="I44" s="3">
        <v>60</v>
      </c>
    </row>
    <row r="45" spans="1:9" x14ac:dyDescent="0.25">
      <c r="A45" t="s">
        <v>704</v>
      </c>
      <c r="B45" t="s">
        <v>862</v>
      </c>
      <c r="C45" s="19">
        <v>35512</v>
      </c>
      <c r="D45" t="s">
        <v>299</v>
      </c>
      <c r="E45" t="s">
        <v>306</v>
      </c>
      <c r="F45" t="s">
        <v>27</v>
      </c>
      <c r="G45" t="s">
        <v>42</v>
      </c>
      <c r="H45" t="s">
        <v>42</v>
      </c>
      <c r="I45" s="3">
        <v>60</v>
      </c>
    </row>
    <row r="46" spans="1:9" x14ac:dyDescent="0.25">
      <c r="A46" t="s">
        <v>709</v>
      </c>
      <c r="B46" t="s">
        <v>859</v>
      </c>
      <c r="C46" s="19">
        <v>35898</v>
      </c>
      <c r="D46" t="s">
        <v>355</v>
      </c>
      <c r="E46" t="s">
        <v>197</v>
      </c>
      <c r="F46" t="s">
        <v>26</v>
      </c>
      <c r="G46" t="s">
        <v>42</v>
      </c>
      <c r="H46" t="s">
        <v>27</v>
      </c>
      <c r="I46" s="3">
        <v>60</v>
      </c>
    </row>
    <row r="47" spans="1:9" x14ac:dyDescent="0.25">
      <c r="A47" t="s">
        <v>711</v>
      </c>
      <c r="B47" t="s">
        <v>864</v>
      </c>
      <c r="C47" s="19">
        <v>37696</v>
      </c>
      <c r="D47" t="s">
        <v>381</v>
      </c>
      <c r="E47" t="s">
        <v>306</v>
      </c>
      <c r="F47" t="s">
        <v>26</v>
      </c>
      <c r="G47" t="s">
        <v>26</v>
      </c>
      <c r="H47" t="s">
        <v>27</v>
      </c>
      <c r="I47" s="3">
        <v>60</v>
      </c>
    </row>
    <row r="48" spans="1:9" x14ac:dyDescent="0.25">
      <c r="A48" t="s">
        <v>721</v>
      </c>
      <c r="B48" t="s">
        <v>897</v>
      </c>
      <c r="C48" s="19">
        <v>33125</v>
      </c>
      <c r="D48" t="s">
        <v>53</v>
      </c>
      <c r="E48" t="s">
        <v>38</v>
      </c>
      <c r="F48" t="s">
        <v>27</v>
      </c>
      <c r="G48" t="s">
        <v>42</v>
      </c>
      <c r="H48" t="s">
        <v>42</v>
      </c>
      <c r="I48" s="3">
        <v>60</v>
      </c>
    </row>
    <row r="49" spans="1:9" x14ac:dyDescent="0.25">
      <c r="A49" t="s">
        <v>726</v>
      </c>
      <c r="B49" t="s">
        <v>892</v>
      </c>
      <c r="C49" s="19">
        <v>33377</v>
      </c>
      <c r="D49" t="s">
        <v>236</v>
      </c>
      <c r="E49" t="s">
        <v>156</v>
      </c>
      <c r="F49" t="s">
        <v>117</v>
      </c>
      <c r="G49" t="s">
        <v>27</v>
      </c>
      <c r="H49" t="s">
        <v>27</v>
      </c>
      <c r="I49" s="3">
        <v>60</v>
      </c>
    </row>
    <row r="50" spans="1:9" x14ac:dyDescent="0.25">
      <c r="A50" t="s">
        <v>728</v>
      </c>
      <c r="B50" t="s">
        <v>902</v>
      </c>
      <c r="C50" s="19">
        <v>35731</v>
      </c>
      <c r="D50" t="s">
        <v>93</v>
      </c>
      <c r="E50" t="s">
        <v>89</v>
      </c>
      <c r="F50" t="s">
        <v>67</v>
      </c>
      <c r="G50" t="s">
        <v>67</v>
      </c>
      <c r="H50" t="s">
        <v>42</v>
      </c>
      <c r="I50" s="3">
        <v>60</v>
      </c>
    </row>
    <row r="51" spans="1:9" x14ac:dyDescent="0.25">
      <c r="A51" t="s">
        <v>743</v>
      </c>
      <c r="B51" t="s">
        <v>893</v>
      </c>
      <c r="C51" s="19">
        <v>29852</v>
      </c>
      <c r="D51" t="s">
        <v>104</v>
      </c>
      <c r="E51" t="s">
        <v>108</v>
      </c>
      <c r="F51" t="s">
        <v>67</v>
      </c>
      <c r="G51" t="s">
        <v>67</v>
      </c>
      <c r="H51" t="s">
        <v>27</v>
      </c>
      <c r="I51" s="3">
        <v>60</v>
      </c>
    </row>
    <row r="52" spans="1:9" x14ac:dyDescent="0.25">
      <c r="A52" t="s">
        <v>749</v>
      </c>
      <c r="B52" t="s">
        <v>903</v>
      </c>
      <c r="C52" s="19">
        <v>33812</v>
      </c>
      <c r="D52" t="s">
        <v>142</v>
      </c>
      <c r="E52" t="s">
        <v>108</v>
      </c>
      <c r="F52" t="s">
        <v>42</v>
      </c>
      <c r="G52" t="s">
        <v>42</v>
      </c>
      <c r="H52" t="s">
        <v>26</v>
      </c>
      <c r="I52" s="3">
        <v>60</v>
      </c>
    </row>
    <row r="53" spans="1:9" x14ac:dyDescent="0.25">
      <c r="A53" t="s">
        <v>751</v>
      </c>
      <c r="B53" t="s">
        <v>894</v>
      </c>
      <c r="C53" s="19">
        <v>37179</v>
      </c>
      <c r="D53" t="s">
        <v>465</v>
      </c>
      <c r="E53" t="s">
        <v>156</v>
      </c>
      <c r="F53" t="s">
        <v>27</v>
      </c>
      <c r="G53" t="s">
        <v>27</v>
      </c>
      <c r="H53" t="s">
        <v>42</v>
      </c>
      <c r="I53" s="3">
        <v>60</v>
      </c>
    </row>
    <row r="54" spans="1:9" x14ac:dyDescent="0.25">
      <c r="A54" t="s">
        <v>766</v>
      </c>
      <c r="B54" t="s">
        <v>766</v>
      </c>
      <c r="C54" s="19">
        <v>25901</v>
      </c>
      <c r="D54" t="s">
        <v>34</v>
      </c>
      <c r="E54" t="s">
        <v>38</v>
      </c>
      <c r="F54" t="s">
        <v>41</v>
      </c>
      <c r="G54" t="s">
        <v>41</v>
      </c>
      <c r="H54" t="s">
        <v>42</v>
      </c>
      <c r="I54" s="3">
        <v>60</v>
      </c>
    </row>
    <row r="55" spans="1:9" x14ac:dyDescent="0.25">
      <c r="A55" t="s">
        <v>771</v>
      </c>
      <c r="B55" t="s">
        <v>890</v>
      </c>
      <c r="C55" s="19">
        <v>25285</v>
      </c>
      <c r="D55" t="s">
        <v>267</v>
      </c>
      <c r="E55" t="s">
        <v>127</v>
      </c>
      <c r="F55" t="s">
        <v>42</v>
      </c>
      <c r="G55" t="s">
        <v>27</v>
      </c>
      <c r="H55" t="s">
        <v>27</v>
      </c>
      <c r="I55" s="3">
        <v>60</v>
      </c>
    </row>
    <row r="56" spans="1:9" x14ac:dyDescent="0.25">
      <c r="A56" t="s">
        <v>788</v>
      </c>
      <c r="B56" t="s">
        <v>833</v>
      </c>
      <c r="C56" s="19">
        <v>30848</v>
      </c>
      <c r="D56" t="s">
        <v>38</v>
      </c>
      <c r="E56" t="s">
        <v>38</v>
      </c>
      <c r="F56" t="s">
        <v>26</v>
      </c>
      <c r="G56" t="s">
        <v>26</v>
      </c>
      <c r="H56" t="s">
        <v>42</v>
      </c>
      <c r="I56" s="3">
        <v>60</v>
      </c>
    </row>
    <row r="57" spans="1:9" x14ac:dyDescent="0.25">
      <c r="A57" t="s">
        <v>793</v>
      </c>
      <c r="B57" t="s">
        <v>872</v>
      </c>
      <c r="C57" s="19">
        <v>37238</v>
      </c>
      <c r="D57" t="s">
        <v>376</v>
      </c>
      <c r="E57" t="s">
        <v>306</v>
      </c>
      <c r="F57" t="s">
        <v>42</v>
      </c>
      <c r="G57" t="s">
        <v>42</v>
      </c>
      <c r="H57" t="s">
        <v>27</v>
      </c>
      <c r="I57" s="3">
        <v>60</v>
      </c>
    </row>
    <row r="58" spans="1:9" x14ac:dyDescent="0.25">
      <c r="A58" t="s">
        <v>796</v>
      </c>
      <c r="B58" t="s">
        <v>895</v>
      </c>
      <c r="C58" s="19">
        <v>38759</v>
      </c>
      <c r="D58" t="s">
        <v>136</v>
      </c>
      <c r="E58" t="s">
        <v>23</v>
      </c>
      <c r="F58" t="s">
        <v>27</v>
      </c>
      <c r="G58" t="s">
        <v>42</v>
      </c>
      <c r="H58" t="s">
        <v>42</v>
      </c>
      <c r="I58" s="3">
        <v>60</v>
      </c>
    </row>
    <row r="59" spans="1:9" x14ac:dyDescent="0.25">
      <c r="A59" t="s">
        <v>691</v>
      </c>
      <c r="B59" t="s">
        <v>841</v>
      </c>
      <c r="C59" s="19">
        <v>32899</v>
      </c>
      <c r="D59" t="s">
        <v>85</v>
      </c>
      <c r="E59" t="s">
        <v>89</v>
      </c>
      <c r="F59" t="s">
        <v>27</v>
      </c>
      <c r="G59" t="s">
        <v>27</v>
      </c>
      <c r="H59" t="s">
        <v>42</v>
      </c>
      <c r="I59" s="3">
        <v>50</v>
      </c>
    </row>
    <row r="60" spans="1:9" x14ac:dyDescent="0.25">
      <c r="A60" t="s">
        <v>712</v>
      </c>
      <c r="B60" t="s">
        <v>834</v>
      </c>
      <c r="C60" s="19">
        <v>34398</v>
      </c>
      <c r="D60" t="s">
        <v>385</v>
      </c>
      <c r="E60" t="s">
        <v>197</v>
      </c>
      <c r="F60" t="s">
        <v>75</v>
      </c>
      <c r="G60" t="s">
        <v>42</v>
      </c>
      <c r="H60" t="s">
        <v>67</v>
      </c>
      <c r="I60" s="3">
        <v>50</v>
      </c>
    </row>
    <row r="61" spans="1:9" x14ac:dyDescent="0.25">
      <c r="A61" t="s">
        <v>753</v>
      </c>
      <c r="B61" t="s">
        <v>905</v>
      </c>
      <c r="C61" s="19">
        <v>33639</v>
      </c>
      <c r="D61" t="s">
        <v>239</v>
      </c>
      <c r="E61" t="s">
        <v>244</v>
      </c>
      <c r="F61" t="s">
        <v>694</v>
      </c>
      <c r="G61" t="s">
        <v>42</v>
      </c>
      <c r="H61" t="s">
        <v>694</v>
      </c>
      <c r="I61" s="3">
        <v>50</v>
      </c>
    </row>
    <row r="62" spans="1:9" x14ac:dyDescent="0.25">
      <c r="A62" t="s">
        <v>698</v>
      </c>
      <c r="B62" t="s">
        <v>854</v>
      </c>
      <c r="C62" s="19">
        <v>32607</v>
      </c>
      <c r="D62" t="s">
        <v>60</v>
      </c>
      <c r="E62" t="s">
        <v>60</v>
      </c>
      <c r="F62" t="s">
        <v>42</v>
      </c>
      <c r="G62" t="s">
        <v>42</v>
      </c>
      <c r="H62" t="s">
        <v>695</v>
      </c>
      <c r="I62" s="3">
        <v>45</v>
      </c>
    </row>
    <row r="63" spans="1:9" x14ac:dyDescent="0.25">
      <c r="A63" t="s">
        <v>714</v>
      </c>
      <c r="B63" t="s">
        <v>714</v>
      </c>
      <c r="C63" s="19">
        <v>37715</v>
      </c>
      <c r="D63" t="s">
        <v>185</v>
      </c>
      <c r="E63" t="s">
        <v>178</v>
      </c>
      <c r="F63" t="s">
        <v>27</v>
      </c>
      <c r="G63" t="s">
        <v>42</v>
      </c>
      <c r="H63" t="s">
        <v>41</v>
      </c>
      <c r="I63" s="3">
        <v>45</v>
      </c>
    </row>
    <row r="64" spans="1:9" x14ac:dyDescent="0.25">
      <c r="A64" t="s">
        <v>739</v>
      </c>
      <c r="B64" t="s">
        <v>906</v>
      </c>
      <c r="C64" s="19">
        <v>35356</v>
      </c>
      <c r="D64" t="s">
        <v>178</v>
      </c>
      <c r="E64" t="s">
        <v>178</v>
      </c>
      <c r="F64" t="s">
        <v>67</v>
      </c>
      <c r="G64" t="s">
        <v>67</v>
      </c>
      <c r="H64" t="s">
        <v>26</v>
      </c>
      <c r="I64" s="3">
        <v>45</v>
      </c>
    </row>
    <row r="65" spans="1:9" x14ac:dyDescent="0.25">
      <c r="A65" t="s">
        <v>781</v>
      </c>
      <c r="B65" t="s">
        <v>831</v>
      </c>
      <c r="C65" s="19">
        <v>39396</v>
      </c>
      <c r="D65" t="s">
        <v>284</v>
      </c>
      <c r="E65" t="s">
        <v>210</v>
      </c>
      <c r="F65" t="s">
        <v>26</v>
      </c>
      <c r="G65" t="s">
        <v>26</v>
      </c>
      <c r="H65" t="s">
        <v>42</v>
      </c>
      <c r="I65" s="3">
        <v>45</v>
      </c>
    </row>
    <row r="66" spans="1:9" x14ac:dyDescent="0.25">
      <c r="A66" t="s">
        <v>792</v>
      </c>
      <c r="B66" t="s">
        <v>904</v>
      </c>
      <c r="C66" s="19">
        <v>32440</v>
      </c>
      <c r="D66" t="s">
        <v>206</v>
      </c>
      <c r="E66" t="s">
        <v>210</v>
      </c>
      <c r="F66" t="s">
        <v>26</v>
      </c>
      <c r="G66" t="s">
        <v>27</v>
      </c>
      <c r="H66" t="s">
        <v>27</v>
      </c>
      <c r="I66" s="3">
        <v>45</v>
      </c>
    </row>
    <row r="67" spans="1:9" x14ac:dyDescent="0.25">
      <c r="A67" t="s">
        <v>686</v>
      </c>
      <c r="B67" t="s">
        <v>844</v>
      </c>
      <c r="C67" s="19">
        <v>36754</v>
      </c>
      <c r="D67" t="s">
        <v>431</v>
      </c>
      <c r="E67" t="s">
        <v>257</v>
      </c>
      <c r="F67" t="s">
        <v>27</v>
      </c>
      <c r="G67" t="s">
        <v>27</v>
      </c>
      <c r="H67" t="s">
        <v>42</v>
      </c>
      <c r="I67" s="3">
        <v>40</v>
      </c>
    </row>
    <row r="68" spans="1:9" x14ac:dyDescent="0.25">
      <c r="A68" t="s">
        <v>692</v>
      </c>
      <c r="B68" t="s">
        <v>852</v>
      </c>
      <c r="C68" s="19">
        <v>40011</v>
      </c>
      <c r="D68" t="s">
        <v>213</v>
      </c>
      <c r="E68" t="s">
        <v>202</v>
      </c>
      <c r="F68" t="s">
        <v>26</v>
      </c>
      <c r="G68" t="s">
        <v>27</v>
      </c>
      <c r="H68" t="s">
        <v>42</v>
      </c>
      <c r="I68" s="3">
        <v>40</v>
      </c>
    </row>
    <row r="69" spans="1:9" x14ac:dyDescent="0.25">
      <c r="A69" t="s">
        <v>706</v>
      </c>
      <c r="B69" t="s">
        <v>858</v>
      </c>
      <c r="C69" s="19">
        <v>33639</v>
      </c>
      <c r="D69" t="s">
        <v>279</v>
      </c>
      <c r="E69" t="s">
        <v>119</v>
      </c>
      <c r="F69" t="s">
        <v>42</v>
      </c>
      <c r="G69" t="s">
        <v>26</v>
      </c>
      <c r="H69" t="s">
        <v>27</v>
      </c>
      <c r="I69" s="3">
        <v>40</v>
      </c>
    </row>
    <row r="70" spans="1:9" x14ac:dyDescent="0.25">
      <c r="A70" t="s">
        <v>716</v>
      </c>
      <c r="B70" t="s">
        <v>888</v>
      </c>
      <c r="C70" s="19">
        <v>36620</v>
      </c>
      <c r="D70" t="s">
        <v>483</v>
      </c>
      <c r="E70" t="s">
        <v>488</v>
      </c>
      <c r="F70" t="s">
        <v>42</v>
      </c>
      <c r="G70" t="s">
        <v>27</v>
      </c>
      <c r="H70" t="s">
        <v>27</v>
      </c>
      <c r="I70" s="3">
        <v>40</v>
      </c>
    </row>
    <row r="71" spans="1:9" x14ac:dyDescent="0.25">
      <c r="A71" t="s">
        <v>718</v>
      </c>
      <c r="B71" t="s">
        <v>907</v>
      </c>
      <c r="C71" s="19">
        <v>37155</v>
      </c>
      <c r="D71" t="s">
        <v>362</v>
      </c>
      <c r="E71" t="s">
        <v>369</v>
      </c>
      <c r="F71" t="s">
        <v>42</v>
      </c>
      <c r="G71" t="s">
        <v>67</v>
      </c>
      <c r="H71" t="s">
        <v>67</v>
      </c>
      <c r="I71" s="3">
        <v>40</v>
      </c>
    </row>
    <row r="72" spans="1:9" x14ac:dyDescent="0.25">
      <c r="A72" t="s">
        <v>746</v>
      </c>
      <c r="B72" t="s">
        <v>873</v>
      </c>
      <c r="C72" s="19">
        <v>36905</v>
      </c>
      <c r="D72" t="s">
        <v>476</v>
      </c>
      <c r="E72" t="s">
        <v>454</v>
      </c>
      <c r="F72" t="s">
        <v>42</v>
      </c>
      <c r="G72" t="s">
        <v>27</v>
      </c>
      <c r="H72" t="s">
        <v>26</v>
      </c>
      <c r="I72" s="3">
        <v>40</v>
      </c>
    </row>
    <row r="73" spans="1:9" x14ac:dyDescent="0.25">
      <c r="A73" t="s">
        <v>747</v>
      </c>
      <c r="B73" t="s">
        <v>889</v>
      </c>
      <c r="C73" s="19">
        <v>38671</v>
      </c>
      <c r="D73" t="s">
        <v>447</v>
      </c>
      <c r="E73" t="s">
        <v>454</v>
      </c>
      <c r="F73" t="s">
        <v>42</v>
      </c>
      <c r="G73" t="s">
        <v>41</v>
      </c>
      <c r="H73" t="s">
        <v>41</v>
      </c>
      <c r="I73" s="3">
        <v>40</v>
      </c>
    </row>
    <row r="74" spans="1:9" x14ac:dyDescent="0.25">
      <c r="A74" t="s">
        <v>759</v>
      </c>
      <c r="B74" t="s">
        <v>911</v>
      </c>
      <c r="C74" s="19">
        <v>35358</v>
      </c>
      <c r="D74" t="s">
        <v>425</v>
      </c>
      <c r="E74" t="s">
        <v>705</v>
      </c>
      <c r="F74" t="s">
        <v>26</v>
      </c>
      <c r="G74" t="s">
        <v>26</v>
      </c>
      <c r="H74" t="s">
        <v>27</v>
      </c>
      <c r="I74" s="3">
        <v>40</v>
      </c>
    </row>
    <row r="75" spans="1:9" x14ac:dyDescent="0.25">
      <c r="A75" t="s">
        <v>760</v>
      </c>
      <c r="B75" t="s">
        <v>912</v>
      </c>
      <c r="C75" s="19">
        <v>33494</v>
      </c>
      <c r="D75" t="s">
        <v>469</v>
      </c>
      <c r="E75" t="s">
        <v>352</v>
      </c>
      <c r="F75" t="s">
        <v>67</v>
      </c>
      <c r="G75" t="s">
        <v>67</v>
      </c>
      <c r="H75" t="s">
        <v>42</v>
      </c>
      <c r="I75" s="3">
        <v>40</v>
      </c>
    </row>
    <row r="76" spans="1:9" x14ac:dyDescent="0.25">
      <c r="A76" t="s">
        <v>764</v>
      </c>
      <c r="B76" t="s">
        <v>899</v>
      </c>
      <c r="C76" s="19">
        <v>31048</v>
      </c>
      <c r="D76" t="s">
        <v>285</v>
      </c>
      <c r="E76" t="s">
        <v>244</v>
      </c>
      <c r="F76" t="s">
        <v>42</v>
      </c>
      <c r="G76" t="s">
        <v>27</v>
      </c>
      <c r="H76" t="s">
        <v>27</v>
      </c>
      <c r="I76" s="3">
        <v>40</v>
      </c>
    </row>
    <row r="77" spans="1:9" x14ac:dyDescent="0.25">
      <c r="A77" t="s">
        <v>770</v>
      </c>
      <c r="B77" t="s">
        <v>908</v>
      </c>
      <c r="C77" s="19">
        <v>34108</v>
      </c>
      <c r="D77" t="s">
        <v>359</v>
      </c>
      <c r="E77" t="s">
        <v>197</v>
      </c>
      <c r="F77" t="s">
        <v>117</v>
      </c>
      <c r="G77" t="s">
        <v>67</v>
      </c>
      <c r="H77" t="s">
        <v>67</v>
      </c>
      <c r="I77" s="3">
        <v>40</v>
      </c>
    </row>
    <row r="78" spans="1:9" x14ac:dyDescent="0.25">
      <c r="A78" t="s">
        <v>812</v>
      </c>
      <c r="B78" t="s">
        <v>914</v>
      </c>
      <c r="C78" s="19">
        <v>35836</v>
      </c>
      <c r="D78" t="s">
        <v>641</v>
      </c>
      <c r="E78" t="s">
        <v>369</v>
      </c>
      <c r="F78" t="s">
        <v>67</v>
      </c>
      <c r="G78" t="s">
        <v>26</v>
      </c>
      <c r="H78" t="s">
        <v>42</v>
      </c>
      <c r="I78" s="20">
        <v>40</v>
      </c>
    </row>
    <row r="79" spans="1:9" x14ac:dyDescent="0.25">
      <c r="A79" t="s">
        <v>813</v>
      </c>
      <c r="B79" t="s">
        <v>916</v>
      </c>
      <c r="C79" s="19">
        <v>38431</v>
      </c>
      <c r="D79" t="s">
        <v>647</v>
      </c>
      <c r="E79" t="s">
        <v>488</v>
      </c>
      <c r="F79" t="s">
        <v>42</v>
      </c>
      <c r="G79" t="s">
        <v>41</v>
      </c>
      <c r="H79" t="s">
        <v>26</v>
      </c>
      <c r="I79" s="20">
        <v>40</v>
      </c>
    </row>
    <row r="80" spans="1:9" x14ac:dyDescent="0.25">
      <c r="A80" t="s">
        <v>817</v>
      </c>
      <c r="B80" t="s">
        <v>917</v>
      </c>
      <c r="C80" s="19">
        <v>37080</v>
      </c>
      <c r="D80" t="s">
        <v>607</v>
      </c>
      <c r="E80" t="s">
        <v>705</v>
      </c>
      <c r="F80" t="s">
        <v>42</v>
      </c>
      <c r="G80" t="s">
        <v>42</v>
      </c>
      <c r="H80" t="s">
        <v>27</v>
      </c>
      <c r="I80" s="20">
        <v>40</v>
      </c>
    </row>
    <row r="81" spans="1:9" x14ac:dyDescent="0.25">
      <c r="A81" t="s">
        <v>680</v>
      </c>
      <c r="B81" t="s">
        <v>835</v>
      </c>
      <c r="C81" s="19">
        <v>43831</v>
      </c>
      <c r="D81" t="s">
        <v>349</v>
      </c>
      <c r="E81" t="s">
        <v>352</v>
      </c>
      <c r="F81" t="s">
        <v>117</v>
      </c>
      <c r="G81" t="s">
        <v>27</v>
      </c>
      <c r="H81" t="s">
        <v>27</v>
      </c>
      <c r="I81" s="3">
        <v>30</v>
      </c>
    </row>
    <row r="82" spans="1:9" x14ac:dyDescent="0.25">
      <c r="A82" t="s">
        <v>699</v>
      </c>
      <c r="B82" t="s">
        <v>855</v>
      </c>
      <c r="C82" s="19">
        <v>37306</v>
      </c>
      <c r="D82" t="s">
        <v>518</v>
      </c>
      <c r="E82" t="s">
        <v>442</v>
      </c>
      <c r="F82" t="s">
        <v>42</v>
      </c>
      <c r="G82" t="s">
        <v>26</v>
      </c>
      <c r="H82" t="s">
        <v>26</v>
      </c>
      <c r="I82" s="3">
        <v>30</v>
      </c>
    </row>
    <row r="83" spans="1:9" x14ac:dyDescent="0.25">
      <c r="A83" t="s">
        <v>717</v>
      </c>
      <c r="B83" t="s">
        <v>907</v>
      </c>
      <c r="C83" s="19">
        <v>40580</v>
      </c>
      <c r="D83" t="s">
        <v>148</v>
      </c>
      <c r="E83" t="s">
        <v>156</v>
      </c>
      <c r="F83" t="s">
        <v>41</v>
      </c>
      <c r="G83" t="s">
        <v>41</v>
      </c>
      <c r="H83" t="s">
        <v>42</v>
      </c>
      <c r="I83" s="3">
        <v>30</v>
      </c>
    </row>
    <row r="84" spans="1:9" x14ac:dyDescent="0.25">
      <c r="A84" t="s">
        <v>737</v>
      </c>
      <c r="B84" t="s">
        <v>918</v>
      </c>
      <c r="C84" s="19">
        <v>25897</v>
      </c>
      <c r="D84" t="s">
        <v>71</v>
      </c>
      <c r="E84" t="s">
        <v>23</v>
      </c>
      <c r="F84" t="s">
        <v>41</v>
      </c>
      <c r="G84" t="s">
        <v>41</v>
      </c>
      <c r="H84" t="s">
        <v>26</v>
      </c>
      <c r="I84" s="3">
        <v>30</v>
      </c>
    </row>
    <row r="85" spans="1:9" x14ac:dyDescent="0.25">
      <c r="A85" t="s">
        <v>748</v>
      </c>
      <c r="B85" t="s">
        <v>913</v>
      </c>
      <c r="C85" s="19">
        <v>32964</v>
      </c>
      <c r="D85" t="s">
        <v>391</v>
      </c>
      <c r="E85" t="s">
        <v>119</v>
      </c>
      <c r="F85" t="s">
        <v>42</v>
      </c>
      <c r="G85" t="s">
        <v>27</v>
      </c>
      <c r="H85" t="s">
        <v>27</v>
      </c>
      <c r="I85" s="3">
        <v>30</v>
      </c>
    </row>
    <row r="86" spans="1:9" x14ac:dyDescent="0.25">
      <c r="A86" t="s">
        <v>756</v>
      </c>
      <c r="B86" t="s">
        <v>920</v>
      </c>
      <c r="C86" s="19">
        <v>43289</v>
      </c>
      <c r="D86" t="s">
        <v>352</v>
      </c>
      <c r="E86" t="s">
        <v>352</v>
      </c>
      <c r="F86" t="s">
        <v>41</v>
      </c>
      <c r="G86" t="s">
        <v>41</v>
      </c>
      <c r="H86" t="s">
        <v>42</v>
      </c>
      <c r="I86" s="3">
        <v>30</v>
      </c>
    </row>
    <row r="87" spans="1:9" x14ac:dyDescent="0.25">
      <c r="A87" t="s">
        <v>769</v>
      </c>
      <c r="B87" t="s">
        <v>908</v>
      </c>
      <c r="C87" s="19">
        <v>39969</v>
      </c>
      <c r="D87" t="s">
        <v>323</v>
      </c>
      <c r="E87" t="s">
        <v>173</v>
      </c>
      <c r="F87" t="s">
        <v>42</v>
      </c>
      <c r="G87" t="s">
        <v>694</v>
      </c>
      <c r="H87" t="s">
        <v>694</v>
      </c>
      <c r="I87" s="3">
        <v>30</v>
      </c>
    </row>
    <row r="88" spans="1:9" x14ac:dyDescent="0.25">
      <c r="A88" t="s">
        <v>772</v>
      </c>
      <c r="B88" t="s">
        <v>923</v>
      </c>
      <c r="C88" s="19">
        <v>26355</v>
      </c>
      <c r="D88" t="s">
        <v>314</v>
      </c>
      <c r="E88" t="s">
        <v>38</v>
      </c>
      <c r="F88" t="s">
        <v>26</v>
      </c>
      <c r="G88" t="s">
        <v>41</v>
      </c>
      <c r="H88" t="s">
        <v>42</v>
      </c>
      <c r="I88" s="3">
        <v>30</v>
      </c>
    </row>
    <row r="89" spans="1:9" x14ac:dyDescent="0.25">
      <c r="A89" t="s">
        <v>776</v>
      </c>
      <c r="B89" t="s">
        <v>924</v>
      </c>
      <c r="C89" s="19">
        <v>36412</v>
      </c>
      <c r="D89" t="s">
        <v>169</v>
      </c>
      <c r="E89" t="s">
        <v>173</v>
      </c>
      <c r="F89" t="s">
        <v>42</v>
      </c>
      <c r="G89" t="s">
        <v>42</v>
      </c>
      <c r="H89" t="s">
        <v>775</v>
      </c>
      <c r="I89" s="3">
        <v>30</v>
      </c>
    </row>
    <row r="90" spans="1:9" x14ac:dyDescent="0.25">
      <c r="A90" t="s">
        <v>784</v>
      </c>
      <c r="B90" t="s">
        <v>915</v>
      </c>
      <c r="C90" s="19">
        <v>32325</v>
      </c>
      <c r="D90" t="s">
        <v>98</v>
      </c>
      <c r="E90" t="s">
        <v>98</v>
      </c>
      <c r="F90" t="s">
        <v>42</v>
      </c>
      <c r="G90" t="s">
        <v>27</v>
      </c>
      <c r="H90" t="s">
        <v>27</v>
      </c>
      <c r="I90" s="3">
        <v>30</v>
      </c>
    </row>
    <row r="91" spans="1:9" x14ac:dyDescent="0.25">
      <c r="A91" t="s">
        <v>801</v>
      </c>
      <c r="B91" t="s">
        <v>832</v>
      </c>
      <c r="C91" s="19">
        <v>37575</v>
      </c>
      <c r="D91" t="s">
        <v>563</v>
      </c>
      <c r="E91" t="s">
        <v>119</v>
      </c>
      <c r="F91" t="s">
        <v>42</v>
      </c>
      <c r="G91" t="s">
        <v>27</v>
      </c>
      <c r="H91" t="s">
        <v>27</v>
      </c>
      <c r="I91" s="3">
        <v>30</v>
      </c>
    </row>
    <row r="92" spans="1:9" x14ac:dyDescent="0.25">
      <c r="A92" t="s">
        <v>802</v>
      </c>
      <c r="B92" t="s">
        <v>909</v>
      </c>
      <c r="C92" s="19">
        <v>36192</v>
      </c>
      <c r="D92" t="s">
        <v>529</v>
      </c>
      <c r="E92" t="s">
        <v>488</v>
      </c>
      <c r="F92" t="s">
        <v>42</v>
      </c>
      <c r="G92" t="s">
        <v>67</v>
      </c>
      <c r="H92" t="s">
        <v>67</v>
      </c>
      <c r="I92" s="3">
        <v>30</v>
      </c>
    </row>
    <row r="93" spans="1:9" x14ac:dyDescent="0.25">
      <c r="A93" t="s">
        <v>805</v>
      </c>
      <c r="B93" t="s">
        <v>910</v>
      </c>
      <c r="C93" s="19">
        <v>37257</v>
      </c>
      <c r="D93" t="s">
        <v>596</v>
      </c>
      <c r="E93" t="s">
        <v>197</v>
      </c>
      <c r="F93" t="s">
        <v>117</v>
      </c>
      <c r="G93" t="s">
        <v>117</v>
      </c>
      <c r="H93" t="s">
        <v>41</v>
      </c>
      <c r="I93" s="20">
        <v>30</v>
      </c>
    </row>
    <row r="94" spans="1:9" x14ac:dyDescent="0.25">
      <c r="A94" t="s">
        <v>809</v>
      </c>
      <c r="B94" t="s">
        <v>922</v>
      </c>
      <c r="C94" s="19">
        <v>36638</v>
      </c>
      <c r="D94" t="s">
        <v>627</v>
      </c>
      <c r="E94" t="s">
        <v>228</v>
      </c>
      <c r="F94" t="s">
        <v>42</v>
      </c>
      <c r="G94" t="s">
        <v>26</v>
      </c>
      <c r="H94" t="s">
        <v>26</v>
      </c>
      <c r="I94" s="20">
        <v>30</v>
      </c>
    </row>
    <row r="95" spans="1:9" x14ac:dyDescent="0.25">
      <c r="A95" t="s">
        <v>810</v>
      </c>
      <c r="B95" t="s">
        <v>869</v>
      </c>
      <c r="C95" s="19">
        <v>43728</v>
      </c>
      <c r="D95" t="s">
        <v>632</v>
      </c>
      <c r="E95" t="s">
        <v>244</v>
      </c>
      <c r="F95" t="s">
        <v>41</v>
      </c>
      <c r="G95" t="s">
        <v>27</v>
      </c>
      <c r="H95" t="s">
        <v>42</v>
      </c>
      <c r="I95" s="20">
        <v>30</v>
      </c>
    </row>
    <row r="96" spans="1:9" x14ac:dyDescent="0.25">
      <c r="A96" t="s">
        <v>811</v>
      </c>
      <c r="B96" t="s">
        <v>926</v>
      </c>
      <c r="C96" s="19">
        <v>44562</v>
      </c>
      <c r="D96" t="s">
        <v>636</v>
      </c>
      <c r="E96" t="s">
        <v>249</v>
      </c>
      <c r="F96" t="s">
        <v>42</v>
      </c>
      <c r="G96" t="s">
        <v>67</v>
      </c>
      <c r="H96" t="s">
        <v>67</v>
      </c>
      <c r="I96" s="20">
        <v>30</v>
      </c>
    </row>
    <row r="97" spans="1:9" x14ac:dyDescent="0.25">
      <c r="A97" t="s">
        <v>815</v>
      </c>
      <c r="B97" t="s">
        <v>925</v>
      </c>
      <c r="C97" s="19">
        <v>44562</v>
      </c>
      <c r="D97" t="s">
        <v>656</v>
      </c>
      <c r="E97" t="s">
        <v>173</v>
      </c>
      <c r="F97" t="s">
        <v>694</v>
      </c>
      <c r="G97" t="s">
        <v>67</v>
      </c>
      <c r="H97" t="s">
        <v>42</v>
      </c>
      <c r="I97" s="20">
        <v>30</v>
      </c>
    </row>
    <row r="98" spans="1:9" x14ac:dyDescent="0.25">
      <c r="A98" t="s">
        <v>816</v>
      </c>
      <c r="B98" t="s">
        <v>921</v>
      </c>
      <c r="C98" s="19">
        <v>34520</v>
      </c>
      <c r="D98" t="s">
        <v>661</v>
      </c>
      <c r="E98" t="s">
        <v>202</v>
      </c>
      <c r="F98" t="s">
        <v>26</v>
      </c>
      <c r="G98" t="s">
        <v>42</v>
      </c>
      <c r="H98" t="s">
        <v>27</v>
      </c>
      <c r="I98" s="20">
        <v>30</v>
      </c>
    </row>
    <row r="99" spans="1:9" x14ac:dyDescent="0.25">
      <c r="A99" t="s">
        <v>818</v>
      </c>
      <c r="B99" t="s">
        <v>846</v>
      </c>
      <c r="C99" s="19">
        <v>37299</v>
      </c>
      <c r="D99" t="s">
        <v>503</v>
      </c>
      <c r="E99" t="s">
        <v>119</v>
      </c>
      <c r="F99" t="s">
        <v>27</v>
      </c>
      <c r="G99" t="s">
        <v>27</v>
      </c>
      <c r="H99" t="s">
        <v>26</v>
      </c>
      <c r="I99" s="20">
        <v>30</v>
      </c>
    </row>
    <row r="100" spans="1:9" x14ac:dyDescent="0.25">
      <c r="A100" t="s">
        <v>679</v>
      </c>
      <c r="B100" t="s">
        <v>830</v>
      </c>
      <c r="C100" s="19">
        <v>42736</v>
      </c>
      <c r="D100" t="s">
        <v>329</v>
      </c>
      <c r="E100" t="s">
        <v>336</v>
      </c>
      <c r="F100" t="s">
        <v>27</v>
      </c>
      <c r="G100" t="s">
        <v>27</v>
      </c>
      <c r="H100" t="s">
        <v>42</v>
      </c>
      <c r="I100" s="3">
        <v>25</v>
      </c>
    </row>
    <row r="101" spans="1:9" x14ac:dyDescent="0.25">
      <c r="A101" t="s">
        <v>723</v>
      </c>
      <c r="B101" t="s">
        <v>927</v>
      </c>
      <c r="C101" s="19">
        <v>35125</v>
      </c>
      <c r="D101" t="s">
        <v>158</v>
      </c>
      <c r="E101" t="s">
        <v>132</v>
      </c>
      <c r="F101" t="s">
        <v>42</v>
      </c>
      <c r="G101" t="s">
        <v>41</v>
      </c>
      <c r="H101" t="s">
        <v>41</v>
      </c>
      <c r="I101" s="3">
        <v>25</v>
      </c>
    </row>
    <row r="102" spans="1:9" x14ac:dyDescent="0.25">
      <c r="A102" t="s">
        <v>725</v>
      </c>
      <c r="B102" t="s">
        <v>919</v>
      </c>
      <c r="C102" s="19">
        <v>39640</v>
      </c>
      <c r="D102" t="s">
        <v>250</v>
      </c>
      <c r="E102" t="s">
        <v>257</v>
      </c>
      <c r="F102" t="s">
        <v>26</v>
      </c>
      <c r="G102" t="s">
        <v>42</v>
      </c>
      <c r="H102" t="s">
        <v>117</v>
      </c>
      <c r="I102" s="3">
        <v>25</v>
      </c>
    </row>
    <row r="103" spans="1:9" x14ac:dyDescent="0.25">
      <c r="A103" t="s">
        <v>681</v>
      </c>
      <c r="B103" t="s">
        <v>838</v>
      </c>
      <c r="C103" s="19">
        <v>25934</v>
      </c>
      <c r="D103" t="s">
        <v>551</v>
      </c>
      <c r="E103" t="s">
        <v>442</v>
      </c>
      <c r="F103" t="s">
        <v>26</v>
      </c>
      <c r="G103" t="s">
        <v>42</v>
      </c>
      <c r="H103" t="s">
        <v>42</v>
      </c>
      <c r="I103" s="3">
        <v>20</v>
      </c>
    </row>
    <row r="104" spans="1:9" x14ac:dyDescent="0.25">
      <c r="A104" t="s">
        <v>682</v>
      </c>
      <c r="B104" t="s">
        <v>839</v>
      </c>
      <c r="C104" s="19">
        <v>37510</v>
      </c>
      <c r="D104" t="s">
        <v>218</v>
      </c>
      <c r="E104" t="s">
        <v>89</v>
      </c>
      <c r="F104" t="s">
        <v>41</v>
      </c>
      <c r="G104" t="s">
        <v>27</v>
      </c>
      <c r="H104" t="s">
        <v>42</v>
      </c>
      <c r="I104" s="3">
        <v>20</v>
      </c>
    </row>
    <row r="105" spans="1:9" x14ac:dyDescent="0.25">
      <c r="A105" t="s">
        <v>685</v>
      </c>
      <c r="B105" t="s">
        <v>843</v>
      </c>
      <c r="C105" s="19">
        <v>37157</v>
      </c>
      <c r="D105" t="s">
        <v>559</v>
      </c>
      <c r="E105" t="s">
        <v>442</v>
      </c>
      <c r="F105" t="s">
        <v>42</v>
      </c>
      <c r="G105" t="s">
        <v>27</v>
      </c>
      <c r="H105" t="s">
        <v>27</v>
      </c>
      <c r="I105" s="3">
        <v>20</v>
      </c>
    </row>
    <row r="106" spans="1:9" x14ac:dyDescent="0.25">
      <c r="A106" t="s">
        <v>687</v>
      </c>
      <c r="B106" t="s">
        <v>845</v>
      </c>
      <c r="C106" s="19">
        <v>44562</v>
      </c>
      <c r="D106" t="s">
        <v>273</v>
      </c>
      <c r="E106" t="s">
        <v>278</v>
      </c>
      <c r="F106" t="s">
        <v>42</v>
      </c>
      <c r="G106" t="s">
        <v>27</v>
      </c>
      <c r="H106" t="s">
        <v>27</v>
      </c>
      <c r="I106" s="3">
        <v>20</v>
      </c>
    </row>
    <row r="107" spans="1:9" x14ac:dyDescent="0.25">
      <c r="A107" t="s">
        <v>689</v>
      </c>
      <c r="B107" t="s">
        <v>851</v>
      </c>
      <c r="C107" s="19">
        <v>33865</v>
      </c>
      <c r="D107" t="s">
        <v>128</v>
      </c>
      <c r="E107" t="s">
        <v>132</v>
      </c>
      <c r="F107" t="s">
        <v>27</v>
      </c>
      <c r="G107" t="s">
        <v>27</v>
      </c>
      <c r="H107" t="s">
        <v>26</v>
      </c>
      <c r="I107" s="3">
        <v>20</v>
      </c>
    </row>
    <row r="108" spans="1:9" x14ac:dyDescent="0.25">
      <c r="A108" t="s">
        <v>700</v>
      </c>
      <c r="B108" t="s">
        <v>860</v>
      </c>
      <c r="C108" s="19">
        <v>38564</v>
      </c>
      <c r="D108" t="s">
        <v>534</v>
      </c>
      <c r="E108" t="s">
        <v>336</v>
      </c>
      <c r="F108" t="s">
        <v>42</v>
      </c>
      <c r="G108" t="s">
        <v>41</v>
      </c>
      <c r="H108" t="s">
        <v>26</v>
      </c>
      <c r="I108" s="3">
        <v>20</v>
      </c>
    </row>
    <row r="109" spans="1:9" x14ac:dyDescent="0.25">
      <c r="A109" t="s">
        <v>707</v>
      </c>
      <c r="B109" t="s">
        <v>863</v>
      </c>
      <c r="C109" s="19">
        <v>32489</v>
      </c>
      <c r="D109" t="s">
        <v>120</v>
      </c>
      <c r="E109" t="s">
        <v>127</v>
      </c>
      <c r="F109" t="s">
        <v>708</v>
      </c>
      <c r="G109" t="s">
        <v>42</v>
      </c>
      <c r="H109" t="s">
        <v>27</v>
      </c>
      <c r="I109" s="3">
        <v>20</v>
      </c>
    </row>
    <row r="110" spans="1:9" x14ac:dyDescent="0.25">
      <c r="A110" t="s">
        <v>715</v>
      </c>
      <c r="B110" t="s">
        <v>928</v>
      </c>
      <c r="C110" s="19">
        <v>43240</v>
      </c>
      <c r="D110" t="s">
        <v>185</v>
      </c>
      <c r="E110" t="s">
        <v>178</v>
      </c>
      <c r="F110" t="s">
        <v>42</v>
      </c>
      <c r="G110" t="s">
        <v>27</v>
      </c>
      <c r="H110" t="s">
        <v>27</v>
      </c>
      <c r="I110" s="3">
        <v>20</v>
      </c>
    </row>
    <row r="111" spans="1:9" x14ac:dyDescent="0.25">
      <c r="A111" t="s">
        <v>731</v>
      </c>
      <c r="B111" t="s">
        <v>831</v>
      </c>
      <c r="C111" s="19">
        <v>40596</v>
      </c>
      <c r="D111" t="s">
        <v>223</v>
      </c>
      <c r="E111" t="s">
        <v>228</v>
      </c>
      <c r="F111" t="s">
        <v>117</v>
      </c>
      <c r="G111" t="s">
        <v>41</v>
      </c>
      <c r="H111" t="s">
        <v>42</v>
      </c>
      <c r="I111" s="3">
        <v>20</v>
      </c>
    </row>
    <row r="112" spans="1:9" x14ac:dyDescent="0.25">
      <c r="A112" t="s">
        <v>732</v>
      </c>
      <c r="B112" t="s">
        <v>378</v>
      </c>
      <c r="C112" s="19">
        <v>33181</v>
      </c>
      <c r="D112" t="s">
        <v>344</v>
      </c>
      <c r="E112" t="s">
        <v>178</v>
      </c>
      <c r="F112" t="s">
        <v>42</v>
      </c>
      <c r="G112" t="s">
        <v>27</v>
      </c>
      <c r="H112" t="s">
        <v>26</v>
      </c>
      <c r="I112" s="3">
        <v>20</v>
      </c>
    </row>
    <row r="113" spans="1:9" x14ac:dyDescent="0.25">
      <c r="A113" t="s">
        <v>742</v>
      </c>
      <c r="B113" t="s">
        <v>872</v>
      </c>
      <c r="C113" s="19">
        <v>39938</v>
      </c>
      <c r="D113" t="s">
        <v>554</v>
      </c>
      <c r="E113" t="s">
        <v>442</v>
      </c>
      <c r="F113" t="s">
        <v>694</v>
      </c>
      <c r="G113" t="s">
        <v>42</v>
      </c>
      <c r="H113" t="s">
        <v>42</v>
      </c>
      <c r="I113" s="3">
        <v>20</v>
      </c>
    </row>
    <row r="114" spans="1:9" x14ac:dyDescent="0.25">
      <c r="A114" t="s">
        <v>754</v>
      </c>
      <c r="B114" t="s">
        <v>830</v>
      </c>
      <c r="C114" s="19">
        <v>41401</v>
      </c>
      <c r="D114" t="s">
        <v>524</v>
      </c>
      <c r="E114" t="s">
        <v>442</v>
      </c>
      <c r="F114" t="s">
        <v>117</v>
      </c>
      <c r="G114" t="s">
        <v>117</v>
      </c>
      <c r="H114" t="s">
        <v>694</v>
      </c>
      <c r="I114" s="3">
        <v>20</v>
      </c>
    </row>
    <row r="115" spans="1:9" x14ac:dyDescent="0.25">
      <c r="A115" t="s">
        <v>755</v>
      </c>
      <c r="B115" t="s">
        <v>836</v>
      </c>
      <c r="C115" s="19">
        <v>40218</v>
      </c>
      <c r="D115" t="s">
        <v>569</v>
      </c>
      <c r="E115" t="s">
        <v>278</v>
      </c>
      <c r="F115" t="s">
        <v>42</v>
      </c>
      <c r="G115" t="s">
        <v>41</v>
      </c>
      <c r="H115" t="s">
        <v>41</v>
      </c>
      <c r="I115" s="3">
        <v>20</v>
      </c>
    </row>
    <row r="116" spans="1:9" x14ac:dyDescent="0.25">
      <c r="A116" t="s">
        <v>757</v>
      </c>
      <c r="B116" t="s">
        <v>930</v>
      </c>
      <c r="C116" s="19">
        <v>38096</v>
      </c>
      <c r="D116" t="s">
        <v>112</v>
      </c>
      <c r="E116" t="s">
        <v>119</v>
      </c>
      <c r="F116" t="s">
        <v>117</v>
      </c>
      <c r="G116" t="s">
        <v>117</v>
      </c>
      <c r="H116" t="s">
        <v>41</v>
      </c>
      <c r="I116" s="3">
        <v>20</v>
      </c>
    </row>
    <row r="117" spans="1:9" x14ac:dyDescent="0.25">
      <c r="A117" t="s">
        <v>758</v>
      </c>
      <c r="B117" t="s">
        <v>931</v>
      </c>
      <c r="C117" s="19">
        <v>33729</v>
      </c>
      <c r="D117" t="s">
        <v>460</v>
      </c>
      <c r="E117" t="s">
        <v>228</v>
      </c>
      <c r="F117" t="s">
        <v>27</v>
      </c>
      <c r="G117" t="s">
        <v>27</v>
      </c>
      <c r="H117" t="s">
        <v>42</v>
      </c>
      <c r="I117" s="3">
        <v>20</v>
      </c>
    </row>
    <row r="118" spans="1:9" x14ac:dyDescent="0.25">
      <c r="A118" t="s">
        <v>762</v>
      </c>
      <c r="B118" t="s">
        <v>933</v>
      </c>
      <c r="C118" s="19">
        <v>31759</v>
      </c>
      <c r="D118" t="s">
        <v>580</v>
      </c>
      <c r="E118" t="s">
        <v>119</v>
      </c>
      <c r="F118" t="s">
        <v>42</v>
      </c>
      <c r="G118" t="s">
        <v>26</v>
      </c>
      <c r="H118" t="s">
        <v>26</v>
      </c>
      <c r="I118" s="3">
        <v>20</v>
      </c>
    </row>
    <row r="119" spans="1:9" x14ac:dyDescent="0.25">
      <c r="A119" t="s">
        <v>763</v>
      </c>
      <c r="B119" t="s">
        <v>934</v>
      </c>
      <c r="C119" s="19">
        <v>31048</v>
      </c>
      <c r="D119" t="s">
        <v>229</v>
      </c>
      <c r="E119" t="s">
        <v>119</v>
      </c>
      <c r="F119" t="s">
        <v>117</v>
      </c>
      <c r="G119" t="s">
        <v>27</v>
      </c>
      <c r="H119" t="s">
        <v>27</v>
      </c>
      <c r="I119" s="3">
        <v>20</v>
      </c>
    </row>
    <row r="120" spans="1:9" x14ac:dyDescent="0.25">
      <c r="A120" t="s">
        <v>767</v>
      </c>
      <c r="B120" t="s">
        <v>932</v>
      </c>
      <c r="C120" s="19">
        <v>38353</v>
      </c>
      <c r="D120" t="s">
        <v>545</v>
      </c>
      <c r="E120" t="s">
        <v>127</v>
      </c>
      <c r="F120" t="s">
        <v>42</v>
      </c>
      <c r="G120" t="s">
        <v>26</v>
      </c>
      <c r="H120" t="s">
        <v>27</v>
      </c>
      <c r="I120" s="3">
        <v>20</v>
      </c>
    </row>
    <row r="121" spans="1:9" x14ac:dyDescent="0.25">
      <c r="A121" t="s">
        <v>773</v>
      </c>
      <c r="B121" t="s">
        <v>935</v>
      </c>
      <c r="C121" s="19">
        <v>38424</v>
      </c>
      <c r="D121" t="s">
        <v>540</v>
      </c>
      <c r="E121" t="s">
        <v>336</v>
      </c>
      <c r="F121" t="s">
        <v>26</v>
      </c>
      <c r="G121" t="s">
        <v>26</v>
      </c>
      <c r="H121" t="s">
        <v>42</v>
      </c>
      <c r="I121" s="4">
        <v>20</v>
      </c>
    </row>
    <row r="122" spans="1:9" x14ac:dyDescent="0.25">
      <c r="A122" t="s">
        <v>777</v>
      </c>
      <c r="C122" s="19">
        <v>39155</v>
      </c>
      <c r="D122" t="s">
        <v>413</v>
      </c>
      <c r="E122" t="s">
        <v>352</v>
      </c>
      <c r="F122" t="s">
        <v>27</v>
      </c>
      <c r="G122" t="s">
        <v>27</v>
      </c>
      <c r="H122" t="s">
        <v>42</v>
      </c>
      <c r="I122" s="21">
        <v>20</v>
      </c>
    </row>
    <row r="123" spans="1:9" x14ac:dyDescent="0.25">
      <c r="A123" t="s">
        <v>778</v>
      </c>
      <c r="B123" t="s">
        <v>936</v>
      </c>
      <c r="C123" s="19">
        <v>30108</v>
      </c>
      <c r="D123" t="s">
        <v>425</v>
      </c>
      <c r="E123" t="s">
        <v>705</v>
      </c>
      <c r="F123" t="s">
        <v>27</v>
      </c>
      <c r="G123" t="s">
        <v>26</v>
      </c>
      <c r="H123" t="s">
        <v>26</v>
      </c>
      <c r="I123" s="21">
        <v>20</v>
      </c>
    </row>
    <row r="124" spans="1:9" x14ac:dyDescent="0.25">
      <c r="A124" t="s">
        <v>782</v>
      </c>
      <c r="B124" t="s">
        <v>905</v>
      </c>
      <c r="C124" s="19">
        <v>36820</v>
      </c>
      <c r="D124" t="s">
        <v>513</v>
      </c>
      <c r="E124" t="s">
        <v>298</v>
      </c>
      <c r="F124" t="s">
        <v>42</v>
      </c>
      <c r="G124" t="s">
        <v>67</v>
      </c>
      <c r="H124" t="s">
        <v>67</v>
      </c>
      <c r="I124" s="21">
        <v>20</v>
      </c>
    </row>
    <row r="125" spans="1:9" x14ac:dyDescent="0.25">
      <c r="A125" t="s">
        <v>785</v>
      </c>
      <c r="B125" t="s">
        <v>929</v>
      </c>
      <c r="C125" s="19">
        <v>38493</v>
      </c>
      <c r="D125" t="s">
        <v>291</v>
      </c>
      <c r="E125" t="s">
        <v>298</v>
      </c>
      <c r="F125" t="s">
        <v>117</v>
      </c>
      <c r="G125" t="s">
        <v>27</v>
      </c>
      <c r="H125" t="s">
        <v>27</v>
      </c>
      <c r="I125" s="21">
        <v>20</v>
      </c>
    </row>
    <row r="126" spans="1:9" x14ac:dyDescent="0.25">
      <c r="A126" t="s">
        <v>786</v>
      </c>
      <c r="B126" t="s">
        <v>865</v>
      </c>
      <c r="C126" s="19">
        <v>34772</v>
      </c>
      <c r="D126" t="s">
        <v>498</v>
      </c>
      <c r="E126" t="s">
        <v>298</v>
      </c>
      <c r="F126" t="s">
        <v>67</v>
      </c>
      <c r="G126" t="s">
        <v>67</v>
      </c>
      <c r="H126" t="s">
        <v>42</v>
      </c>
      <c r="I126" s="21">
        <v>20</v>
      </c>
    </row>
    <row r="127" spans="1:9" x14ac:dyDescent="0.25">
      <c r="A127" t="s">
        <v>790</v>
      </c>
      <c r="B127" t="s">
        <v>905</v>
      </c>
      <c r="C127" s="19">
        <v>34974</v>
      </c>
      <c r="D127" t="s">
        <v>419</v>
      </c>
      <c r="E127" t="s">
        <v>306</v>
      </c>
      <c r="F127" t="s">
        <v>41</v>
      </c>
      <c r="G127" t="s">
        <v>42</v>
      </c>
      <c r="H127" t="s">
        <v>42</v>
      </c>
      <c r="I127" s="21">
        <v>20</v>
      </c>
    </row>
    <row r="128" spans="1:9" x14ac:dyDescent="0.25">
      <c r="A128" t="s">
        <v>794</v>
      </c>
      <c r="B128" t="s">
        <v>938</v>
      </c>
      <c r="C128" s="19">
        <v>33384</v>
      </c>
      <c r="D128" t="s">
        <v>575</v>
      </c>
      <c r="E128" t="s">
        <v>278</v>
      </c>
      <c r="F128" t="s">
        <v>694</v>
      </c>
      <c r="G128" t="s">
        <v>42</v>
      </c>
      <c r="H128" t="s">
        <v>42</v>
      </c>
      <c r="I128" s="21">
        <v>20</v>
      </c>
    </row>
    <row r="129" spans="1:9" x14ac:dyDescent="0.25">
      <c r="A129" t="s">
        <v>799</v>
      </c>
      <c r="B129" t="s">
        <v>939</v>
      </c>
      <c r="C129" s="19">
        <v>39448</v>
      </c>
      <c r="D129" t="s">
        <v>164</v>
      </c>
      <c r="E129" t="s">
        <v>60</v>
      </c>
      <c r="F129" t="s">
        <v>27</v>
      </c>
      <c r="G129" t="s">
        <v>26</v>
      </c>
      <c r="H129" t="s">
        <v>26</v>
      </c>
      <c r="I129" s="21">
        <v>20</v>
      </c>
    </row>
    <row r="130" spans="1:9" x14ac:dyDescent="0.25">
      <c r="A130" t="s">
        <v>800</v>
      </c>
      <c r="B130" t="s">
        <v>940</v>
      </c>
      <c r="C130" s="19">
        <v>32796</v>
      </c>
      <c r="D130" t="s">
        <v>436</v>
      </c>
      <c r="E130" t="s">
        <v>442</v>
      </c>
      <c r="F130" t="s">
        <v>117</v>
      </c>
      <c r="G130" t="s">
        <v>27</v>
      </c>
      <c r="H130" t="s">
        <v>27</v>
      </c>
      <c r="I130" s="21">
        <v>20</v>
      </c>
    </row>
    <row r="131" spans="1:9" x14ac:dyDescent="0.25">
      <c r="A131" t="s">
        <v>803</v>
      </c>
      <c r="B131" t="s">
        <v>941</v>
      </c>
      <c r="C131" s="19">
        <v>42005</v>
      </c>
      <c r="D131" t="s">
        <v>587</v>
      </c>
      <c r="E131" t="s">
        <v>705</v>
      </c>
      <c r="F131" t="s">
        <v>26</v>
      </c>
      <c r="G131" t="s">
        <v>26</v>
      </c>
      <c r="H131" t="s">
        <v>42</v>
      </c>
      <c r="I131">
        <v>20</v>
      </c>
    </row>
    <row r="132" spans="1:9" x14ac:dyDescent="0.25">
      <c r="A132" t="s">
        <v>804</v>
      </c>
      <c r="B132" t="s">
        <v>944</v>
      </c>
      <c r="C132" s="19">
        <v>42005</v>
      </c>
      <c r="D132" t="s">
        <v>592</v>
      </c>
      <c r="E132" t="s">
        <v>409</v>
      </c>
      <c r="F132" t="s">
        <v>27</v>
      </c>
      <c r="G132" t="s">
        <v>42</v>
      </c>
      <c r="H132" t="s">
        <v>42</v>
      </c>
      <c r="I132">
        <v>20</v>
      </c>
    </row>
    <row r="133" spans="1:9" x14ac:dyDescent="0.25">
      <c r="A133" t="s">
        <v>806</v>
      </c>
      <c r="B133" t="s">
        <v>945</v>
      </c>
      <c r="C133" s="19">
        <v>39668</v>
      </c>
      <c r="D133" t="s">
        <v>602</v>
      </c>
      <c r="E133" t="s">
        <v>108</v>
      </c>
      <c r="F133" t="s">
        <v>694</v>
      </c>
      <c r="G133" t="s">
        <v>42</v>
      </c>
      <c r="H133" t="s">
        <v>42</v>
      </c>
      <c r="I133">
        <v>20</v>
      </c>
    </row>
    <row r="134" spans="1:9" x14ac:dyDescent="0.25">
      <c r="A134" t="s">
        <v>807</v>
      </c>
      <c r="B134" t="s">
        <v>937</v>
      </c>
      <c r="C134" s="19">
        <v>36568</v>
      </c>
      <c r="D134" t="s">
        <v>614</v>
      </c>
      <c r="E134" t="s">
        <v>60</v>
      </c>
      <c r="F134" t="s">
        <v>42</v>
      </c>
      <c r="G134" t="s">
        <v>41</v>
      </c>
      <c r="H134" t="s">
        <v>26</v>
      </c>
      <c r="I134">
        <v>20</v>
      </c>
    </row>
    <row r="135" spans="1:9" x14ac:dyDescent="0.25">
      <c r="A135" t="s">
        <v>808</v>
      </c>
      <c r="B135" t="s">
        <v>942</v>
      </c>
      <c r="C135" s="19">
        <v>38869</v>
      </c>
      <c r="D135" t="s">
        <v>621</v>
      </c>
      <c r="E135" t="s">
        <v>173</v>
      </c>
      <c r="F135" t="s">
        <v>41</v>
      </c>
      <c r="G135" t="s">
        <v>42</v>
      </c>
      <c r="H135" t="s">
        <v>42</v>
      </c>
      <c r="I135">
        <v>20</v>
      </c>
    </row>
    <row r="136" spans="1:9" x14ac:dyDescent="0.25">
      <c r="A136" t="s">
        <v>814</v>
      </c>
      <c r="B136" t="s">
        <v>946</v>
      </c>
      <c r="C136" s="19">
        <v>42748</v>
      </c>
      <c r="D136" t="s">
        <v>652</v>
      </c>
      <c r="E136" t="s">
        <v>454</v>
      </c>
      <c r="F136" t="s">
        <v>694</v>
      </c>
      <c r="G136" t="s">
        <v>42</v>
      </c>
      <c r="H136" t="s">
        <v>42</v>
      </c>
      <c r="I136">
        <v>20</v>
      </c>
    </row>
    <row r="137" spans="1:9" x14ac:dyDescent="0.25">
      <c r="A137" t="s">
        <v>819</v>
      </c>
      <c r="B137" t="s">
        <v>943</v>
      </c>
      <c r="C137" s="19">
        <v>37318</v>
      </c>
      <c r="D137" t="s">
        <v>509</v>
      </c>
      <c r="E137" t="s">
        <v>98</v>
      </c>
      <c r="F137" t="s">
        <v>41</v>
      </c>
      <c r="G137" t="s">
        <v>26</v>
      </c>
      <c r="H137" t="s">
        <v>42</v>
      </c>
      <c r="I137">
        <v>20</v>
      </c>
    </row>
    <row r="138" spans="1:9" x14ac:dyDescent="0.25">
      <c r="A138" t="s">
        <v>820</v>
      </c>
      <c r="B138" t="s">
        <v>947</v>
      </c>
      <c r="C138" s="19">
        <v>43466</v>
      </c>
      <c r="D138" t="s">
        <v>410</v>
      </c>
      <c r="E138" t="s">
        <v>178</v>
      </c>
      <c r="F138" t="s">
        <v>41</v>
      </c>
      <c r="G138" t="s">
        <v>41</v>
      </c>
      <c r="H138" t="s">
        <v>42</v>
      </c>
      <c r="I138">
        <v>20</v>
      </c>
    </row>
    <row r="139" spans="1:9" x14ac:dyDescent="0.25">
      <c r="A139" t="s">
        <v>729</v>
      </c>
      <c r="B139" t="s">
        <v>948</v>
      </c>
      <c r="C139" s="19">
        <v>40323</v>
      </c>
      <c r="D139" t="s">
        <v>443</v>
      </c>
      <c r="E139" t="s">
        <v>257</v>
      </c>
      <c r="F139" t="s">
        <v>694</v>
      </c>
      <c r="G139" t="s">
        <v>42</v>
      </c>
      <c r="H139" t="s">
        <v>42</v>
      </c>
      <c r="I139" s="21"/>
    </row>
  </sheetData>
  <sortState xmlns:xlrd2="http://schemas.microsoft.com/office/spreadsheetml/2017/richdata2" ref="K2:L31">
    <sortCondition descending="1" ref="L2:L31"/>
  </sortState>
  <conditionalFormatting sqref="D122:D135">
    <cfRule type="duplicateValues" dxfId="1" priority="2"/>
  </conditionalFormatting>
  <conditionalFormatting sqref="O2:P113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70F33-2B00-4E83-8A67-6464C7D4DAC6}">
  <dimension ref="A1:I31"/>
  <sheetViews>
    <sheetView topLeftCell="A10" workbookViewId="0">
      <selection activeCell="F20" sqref="F20"/>
    </sheetView>
  </sheetViews>
  <sheetFormatPr defaultRowHeight="15" x14ac:dyDescent="0.25"/>
  <sheetData>
    <row r="1" spans="1:9" x14ac:dyDescent="0.25">
      <c r="A1" t="s">
        <v>4</v>
      </c>
      <c r="B1" t="s">
        <v>821</v>
      </c>
      <c r="C1" t="s">
        <v>822</v>
      </c>
      <c r="D1" t="s">
        <v>823</v>
      </c>
      <c r="E1" t="s">
        <v>824</v>
      </c>
      <c r="F1" t="s">
        <v>825</v>
      </c>
      <c r="G1" t="s">
        <v>826</v>
      </c>
      <c r="H1" t="s">
        <v>827</v>
      </c>
      <c r="I1" t="s">
        <v>828</v>
      </c>
    </row>
    <row r="2" spans="1:9" x14ac:dyDescent="0.25">
      <c r="A2" t="s">
        <v>23</v>
      </c>
      <c r="B2">
        <v>1060</v>
      </c>
      <c r="C2" t="s">
        <v>678</v>
      </c>
      <c r="D2">
        <v>5</v>
      </c>
      <c r="E2">
        <v>12</v>
      </c>
      <c r="F2">
        <v>3</v>
      </c>
      <c r="G2">
        <f>F2+E2+D2+B2</f>
        <v>1080</v>
      </c>
      <c r="H2">
        <f>12*12</f>
        <v>144</v>
      </c>
      <c r="I2">
        <f>G2/H2</f>
        <v>7.5</v>
      </c>
    </row>
    <row r="3" spans="1:9" x14ac:dyDescent="0.25">
      <c r="A3" t="s">
        <v>38</v>
      </c>
      <c r="B3">
        <v>935</v>
      </c>
      <c r="C3" t="s">
        <v>678</v>
      </c>
      <c r="D3">
        <v>5</v>
      </c>
      <c r="E3">
        <v>12</v>
      </c>
      <c r="F3">
        <v>3</v>
      </c>
      <c r="G3">
        <f t="shared" ref="G3:G31" si="0">F3+E3+D3+B3</f>
        <v>955</v>
      </c>
      <c r="H3">
        <f>12*12</f>
        <v>144</v>
      </c>
      <c r="I3">
        <f t="shared" ref="I3:I31" si="1">G3/H3</f>
        <v>6.6319444444444446</v>
      </c>
    </row>
    <row r="4" spans="1:9" x14ac:dyDescent="0.25">
      <c r="A4" t="s">
        <v>89</v>
      </c>
      <c r="B4">
        <v>530</v>
      </c>
      <c r="C4" t="s">
        <v>678</v>
      </c>
      <c r="D4">
        <v>5</v>
      </c>
      <c r="E4">
        <v>12</v>
      </c>
      <c r="F4">
        <v>3</v>
      </c>
      <c r="G4">
        <f t="shared" si="0"/>
        <v>550</v>
      </c>
      <c r="H4">
        <f>12*12</f>
        <v>144</v>
      </c>
      <c r="I4">
        <f t="shared" si="1"/>
        <v>3.8194444444444446</v>
      </c>
    </row>
    <row r="5" spans="1:9" x14ac:dyDescent="0.25">
      <c r="A5" t="s">
        <v>210</v>
      </c>
      <c r="B5">
        <v>490</v>
      </c>
      <c r="C5" t="s">
        <v>678</v>
      </c>
      <c r="D5">
        <v>5</v>
      </c>
      <c r="E5">
        <v>12</v>
      </c>
      <c r="F5">
        <v>3</v>
      </c>
      <c r="G5">
        <f t="shared" si="0"/>
        <v>510</v>
      </c>
      <c r="H5">
        <f>12*12</f>
        <v>144</v>
      </c>
      <c r="I5">
        <f t="shared" si="1"/>
        <v>3.5416666666666665</v>
      </c>
    </row>
    <row r="6" spans="1:9" x14ac:dyDescent="0.25">
      <c r="A6" t="s">
        <v>178</v>
      </c>
      <c r="B6">
        <v>430</v>
      </c>
      <c r="C6" t="s">
        <v>678</v>
      </c>
      <c r="D6">
        <v>5</v>
      </c>
      <c r="E6">
        <v>12</v>
      </c>
      <c r="F6">
        <v>3</v>
      </c>
      <c r="G6">
        <f t="shared" si="0"/>
        <v>450</v>
      </c>
      <c r="H6">
        <f>12*12</f>
        <v>144</v>
      </c>
      <c r="I6">
        <f t="shared" si="1"/>
        <v>3.125</v>
      </c>
    </row>
    <row r="7" spans="1:9" x14ac:dyDescent="0.25">
      <c r="A7" t="s">
        <v>173</v>
      </c>
      <c r="B7">
        <v>390</v>
      </c>
      <c r="C7" t="s">
        <v>684</v>
      </c>
      <c r="D7">
        <v>2</v>
      </c>
      <c r="E7">
        <v>6</v>
      </c>
      <c r="F7">
        <v>1</v>
      </c>
      <c r="G7">
        <f t="shared" si="0"/>
        <v>399</v>
      </c>
      <c r="H7">
        <f>10*10</f>
        <v>100</v>
      </c>
      <c r="I7">
        <f t="shared" si="1"/>
        <v>3.99</v>
      </c>
    </row>
    <row r="8" spans="1:9" x14ac:dyDescent="0.25">
      <c r="A8" t="s">
        <v>132</v>
      </c>
      <c r="B8">
        <v>375</v>
      </c>
      <c r="C8" t="s">
        <v>684</v>
      </c>
      <c r="D8">
        <v>2</v>
      </c>
      <c r="E8">
        <v>6</v>
      </c>
      <c r="F8">
        <v>1</v>
      </c>
      <c r="G8">
        <f t="shared" si="0"/>
        <v>384</v>
      </c>
      <c r="H8">
        <f t="shared" ref="H8:H16" si="2">10*10</f>
        <v>100</v>
      </c>
      <c r="I8">
        <f t="shared" si="1"/>
        <v>3.84</v>
      </c>
    </row>
    <row r="9" spans="1:9" x14ac:dyDescent="0.25">
      <c r="A9" t="s">
        <v>60</v>
      </c>
      <c r="B9">
        <v>325</v>
      </c>
      <c r="C9" t="s">
        <v>684</v>
      </c>
      <c r="D9">
        <v>2</v>
      </c>
      <c r="E9">
        <v>6</v>
      </c>
      <c r="F9">
        <v>1</v>
      </c>
      <c r="G9">
        <f t="shared" si="0"/>
        <v>334</v>
      </c>
      <c r="H9">
        <f t="shared" si="2"/>
        <v>100</v>
      </c>
      <c r="I9">
        <f t="shared" si="1"/>
        <v>3.34</v>
      </c>
    </row>
    <row r="10" spans="1:9" x14ac:dyDescent="0.25">
      <c r="A10" t="s">
        <v>108</v>
      </c>
      <c r="B10">
        <v>300</v>
      </c>
      <c r="C10" t="s">
        <v>684</v>
      </c>
      <c r="D10">
        <v>2</v>
      </c>
      <c r="E10">
        <v>6</v>
      </c>
      <c r="F10">
        <v>1</v>
      </c>
      <c r="G10">
        <f t="shared" si="0"/>
        <v>309</v>
      </c>
      <c r="H10">
        <f t="shared" si="2"/>
        <v>100</v>
      </c>
      <c r="I10">
        <f t="shared" si="1"/>
        <v>3.09</v>
      </c>
    </row>
    <row r="11" spans="1:9" x14ac:dyDescent="0.25">
      <c r="A11" t="s">
        <v>202</v>
      </c>
      <c r="B11">
        <v>290</v>
      </c>
      <c r="C11" t="s">
        <v>684</v>
      </c>
      <c r="D11">
        <v>2</v>
      </c>
      <c r="E11">
        <v>6</v>
      </c>
      <c r="F11">
        <v>1</v>
      </c>
      <c r="G11">
        <f t="shared" si="0"/>
        <v>299</v>
      </c>
      <c r="H11">
        <f t="shared" si="2"/>
        <v>100</v>
      </c>
      <c r="I11">
        <f t="shared" si="1"/>
        <v>2.99</v>
      </c>
    </row>
    <row r="12" spans="1:9" x14ac:dyDescent="0.25">
      <c r="A12" t="s">
        <v>306</v>
      </c>
      <c r="B12">
        <v>260</v>
      </c>
      <c r="C12" t="s">
        <v>684</v>
      </c>
      <c r="D12">
        <v>2</v>
      </c>
      <c r="E12">
        <v>6</v>
      </c>
      <c r="F12">
        <v>1</v>
      </c>
      <c r="G12">
        <f t="shared" si="0"/>
        <v>269</v>
      </c>
      <c r="H12">
        <f t="shared" si="2"/>
        <v>100</v>
      </c>
      <c r="I12">
        <f t="shared" si="1"/>
        <v>2.69</v>
      </c>
    </row>
    <row r="13" spans="1:9" x14ac:dyDescent="0.25">
      <c r="A13" t="s">
        <v>197</v>
      </c>
      <c r="B13">
        <v>260</v>
      </c>
      <c r="C13" t="s">
        <v>684</v>
      </c>
      <c r="D13">
        <v>2</v>
      </c>
      <c r="E13">
        <v>6</v>
      </c>
      <c r="F13">
        <v>1</v>
      </c>
      <c r="G13">
        <f t="shared" si="0"/>
        <v>269</v>
      </c>
      <c r="H13">
        <f t="shared" si="2"/>
        <v>100</v>
      </c>
      <c r="I13">
        <f t="shared" si="1"/>
        <v>2.69</v>
      </c>
    </row>
    <row r="14" spans="1:9" x14ac:dyDescent="0.25">
      <c r="A14" t="s">
        <v>336</v>
      </c>
      <c r="B14">
        <v>245</v>
      </c>
      <c r="C14" t="s">
        <v>684</v>
      </c>
      <c r="D14">
        <v>2</v>
      </c>
      <c r="E14">
        <v>6</v>
      </c>
      <c r="F14">
        <v>1</v>
      </c>
      <c r="G14">
        <f t="shared" si="0"/>
        <v>254</v>
      </c>
      <c r="H14">
        <f t="shared" si="2"/>
        <v>100</v>
      </c>
      <c r="I14">
        <f t="shared" si="1"/>
        <v>2.54</v>
      </c>
    </row>
    <row r="15" spans="1:9" x14ac:dyDescent="0.25">
      <c r="A15" t="s">
        <v>257</v>
      </c>
      <c r="B15">
        <v>225</v>
      </c>
      <c r="C15" t="s">
        <v>684</v>
      </c>
      <c r="D15">
        <v>2</v>
      </c>
      <c r="E15">
        <v>6</v>
      </c>
      <c r="F15">
        <v>1</v>
      </c>
      <c r="G15">
        <f t="shared" si="0"/>
        <v>234</v>
      </c>
      <c r="H15">
        <f t="shared" si="2"/>
        <v>100</v>
      </c>
      <c r="I15">
        <f t="shared" si="1"/>
        <v>2.34</v>
      </c>
    </row>
    <row r="16" spans="1:9" x14ac:dyDescent="0.25">
      <c r="A16" t="s">
        <v>369</v>
      </c>
      <c r="B16">
        <v>220</v>
      </c>
      <c r="C16" t="s">
        <v>684</v>
      </c>
      <c r="D16">
        <v>2</v>
      </c>
      <c r="E16">
        <v>6</v>
      </c>
      <c r="F16">
        <v>1</v>
      </c>
      <c r="G16">
        <f t="shared" si="0"/>
        <v>229</v>
      </c>
      <c r="H16">
        <f t="shared" si="2"/>
        <v>100</v>
      </c>
      <c r="I16">
        <f t="shared" si="1"/>
        <v>2.29</v>
      </c>
    </row>
    <row r="17" spans="1:9" x14ac:dyDescent="0.25">
      <c r="A17" t="s">
        <v>249</v>
      </c>
      <c r="B17">
        <v>180</v>
      </c>
      <c r="C17" t="s">
        <v>697</v>
      </c>
      <c r="D17">
        <v>1</v>
      </c>
      <c r="E17">
        <v>3</v>
      </c>
      <c r="F17">
        <v>0</v>
      </c>
      <c r="G17">
        <f t="shared" si="0"/>
        <v>184</v>
      </c>
      <c r="H17">
        <f>8*8</f>
        <v>64</v>
      </c>
      <c r="I17">
        <f t="shared" si="1"/>
        <v>2.875</v>
      </c>
    </row>
    <row r="18" spans="1:9" x14ac:dyDescent="0.25">
      <c r="A18" t="s">
        <v>127</v>
      </c>
      <c r="B18">
        <v>180</v>
      </c>
      <c r="C18" t="s">
        <v>697</v>
      </c>
      <c r="D18">
        <v>1</v>
      </c>
      <c r="E18">
        <v>3</v>
      </c>
      <c r="F18">
        <v>0</v>
      </c>
      <c r="G18">
        <f t="shared" si="0"/>
        <v>184</v>
      </c>
      <c r="H18">
        <f t="shared" ref="H18:H31" si="3">8*8</f>
        <v>64</v>
      </c>
      <c r="I18">
        <f t="shared" si="1"/>
        <v>2.875</v>
      </c>
    </row>
    <row r="19" spans="1:9" x14ac:dyDescent="0.25">
      <c r="A19" t="s">
        <v>409</v>
      </c>
      <c r="B19">
        <v>180</v>
      </c>
      <c r="C19" t="s">
        <v>697</v>
      </c>
      <c r="D19">
        <v>1</v>
      </c>
      <c r="E19">
        <v>3</v>
      </c>
      <c r="F19">
        <v>0</v>
      </c>
      <c r="G19">
        <f t="shared" si="0"/>
        <v>184</v>
      </c>
      <c r="H19">
        <f t="shared" si="3"/>
        <v>64</v>
      </c>
      <c r="I19">
        <f t="shared" si="1"/>
        <v>2.875</v>
      </c>
    </row>
    <row r="20" spans="1:9" x14ac:dyDescent="0.25">
      <c r="A20" t="s">
        <v>119</v>
      </c>
      <c r="B20">
        <v>160</v>
      </c>
      <c r="C20" t="s">
        <v>697</v>
      </c>
      <c r="D20">
        <v>1</v>
      </c>
      <c r="E20">
        <v>3</v>
      </c>
      <c r="F20">
        <v>0</v>
      </c>
      <c r="G20">
        <f t="shared" si="0"/>
        <v>164</v>
      </c>
      <c r="H20">
        <f t="shared" si="3"/>
        <v>64</v>
      </c>
      <c r="I20">
        <f t="shared" si="1"/>
        <v>2.5625</v>
      </c>
    </row>
    <row r="21" spans="1:9" x14ac:dyDescent="0.25">
      <c r="A21" t="s">
        <v>156</v>
      </c>
      <c r="B21">
        <v>150</v>
      </c>
      <c r="C21" t="s">
        <v>697</v>
      </c>
      <c r="D21">
        <v>1</v>
      </c>
      <c r="E21">
        <v>3</v>
      </c>
      <c r="F21">
        <v>0</v>
      </c>
      <c r="G21">
        <f t="shared" si="0"/>
        <v>154</v>
      </c>
      <c r="H21">
        <f t="shared" si="3"/>
        <v>64</v>
      </c>
      <c r="I21">
        <f t="shared" si="1"/>
        <v>2.40625</v>
      </c>
    </row>
    <row r="22" spans="1:9" x14ac:dyDescent="0.25">
      <c r="A22" t="s">
        <v>98</v>
      </c>
      <c r="B22">
        <v>150</v>
      </c>
      <c r="C22" t="s">
        <v>697</v>
      </c>
      <c r="D22">
        <v>1</v>
      </c>
      <c r="E22">
        <v>3</v>
      </c>
      <c r="F22">
        <v>0</v>
      </c>
      <c r="G22">
        <f t="shared" si="0"/>
        <v>154</v>
      </c>
      <c r="H22">
        <f t="shared" si="3"/>
        <v>64</v>
      </c>
      <c r="I22">
        <f t="shared" si="1"/>
        <v>2.40625</v>
      </c>
    </row>
    <row r="23" spans="1:9" x14ac:dyDescent="0.25">
      <c r="A23" t="s">
        <v>442</v>
      </c>
      <c r="B23">
        <v>130</v>
      </c>
      <c r="C23" t="s">
        <v>697</v>
      </c>
      <c r="D23">
        <v>1</v>
      </c>
      <c r="E23">
        <v>3</v>
      </c>
      <c r="F23">
        <v>0</v>
      </c>
      <c r="G23">
        <f t="shared" si="0"/>
        <v>134</v>
      </c>
      <c r="H23">
        <f t="shared" si="3"/>
        <v>64</v>
      </c>
      <c r="I23">
        <f t="shared" si="1"/>
        <v>2.09375</v>
      </c>
    </row>
    <row r="24" spans="1:9" x14ac:dyDescent="0.25">
      <c r="A24" t="s">
        <v>705</v>
      </c>
      <c r="B24">
        <v>130</v>
      </c>
      <c r="C24" t="s">
        <v>697</v>
      </c>
      <c r="D24">
        <v>1</v>
      </c>
      <c r="E24">
        <v>3</v>
      </c>
      <c r="F24">
        <v>0</v>
      </c>
      <c r="G24">
        <f t="shared" si="0"/>
        <v>134</v>
      </c>
      <c r="H24">
        <f t="shared" si="3"/>
        <v>64</v>
      </c>
      <c r="I24">
        <f t="shared" si="1"/>
        <v>2.09375</v>
      </c>
    </row>
    <row r="25" spans="1:9" x14ac:dyDescent="0.25">
      <c r="A25" t="s">
        <v>352</v>
      </c>
      <c r="B25">
        <v>120</v>
      </c>
      <c r="C25" t="s">
        <v>697</v>
      </c>
      <c r="D25">
        <v>1</v>
      </c>
      <c r="E25">
        <v>3</v>
      </c>
      <c r="F25">
        <v>0</v>
      </c>
      <c r="G25">
        <f t="shared" si="0"/>
        <v>124</v>
      </c>
      <c r="H25">
        <f t="shared" si="3"/>
        <v>64</v>
      </c>
      <c r="I25">
        <f t="shared" si="1"/>
        <v>1.9375</v>
      </c>
    </row>
    <row r="26" spans="1:9" x14ac:dyDescent="0.25">
      <c r="A26" t="s">
        <v>244</v>
      </c>
      <c r="B26">
        <v>120</v>
      </c>
      <c r="C26" t="s">
        <v>697</v>
      </c>
      <c r="D26">
        <v>1</v>
      </c>
      <c r="E26">
        <v>3</v>
      </c>
      <c r="F26">
        <v>0</v>
      </c>
      <c r="G26">
        <f t="shared" si="0"/>
        <v>124</v>
      </c>
      <c r="H26">
        <f t="shared" si="3"/>
        <v>64</v>
      </c>
      <c r="I26">
        <f t="shared" si="1"/>
        <v>1.9375</v>
      </c>
    </row>
    <row r="27" spans="1:9" x14ac:dyDescent="0.25">
      <c r="A27" t="s">
        <v>488</v>
      </c>
      <c r="B27">
        <v>110</v>
      </c>
      <c r="C27" t="s">
        <v>697</v>
      </c>
      <c r="D27">
        <v>1</v>
      </c>
      <c r="E27">
        <v>3</v>
      </c>
      <c r="F27">
        <v>0</v>
      </c>
      <c r="G27">
        <f t="shared" si="0"/>
        <v>114</v>
      </c>
      <c r="H27">
        <f t="shared" si="3"/>
        <v>64</v>
      </c>
      <c r="I27">
        <f t="shared" si="1"/>
        <v>1.78125</v>
      </c>
    </row>
    <row r="28" spans="1:9" x14ac:dyDescent="0.25">
      <c r="A28" t="s">
        <v>454</v>
      </c>
      <c r="B28">
        <v>100</v>
      </c>
      <c r="C28" t="s">
        <v>697</v>
      </c>
      <c r="D28">
        <v>1</v>
      </c>
      <c r="E28">
        <v>3</v>
      </c>
      <c r="F28">
        <v>0</v>
      </c>
      <c r="G28">
        <f t="shared" si="0"/>
        <v>104</v>
      </c>
      <c r="H28">
        <f t="shared" si="3"/>
        <v>64</v>
      </c>
      <c r="I28">
        <f t="shared" si="1"/>
        <v>1.625</v>
      </c>
    </row>
    <row r="29" spans="1:9" x14ac:dyDescent="0.25">
      <c r="A29" t="s">
        <v>228</v>
      </c>
      <c r="B29">
        <v>70</v>
      </c>
      <c r="C29" t="s">
        <v>697</v>
      </c>
      <c r="D29">
        <v>1</v>
      </c>
      <c r="E29">
        <v>3</v>
      </c>
      <c r="F29">
        <v>0</v>
      </c>
      <c r="G29">
        <f t="shared" si="0"/>
        <v>74</v>
      </c>
      <c r="H29">
        <f t="shared" si="3"/>
        <v>64</v>
      </c>
      <c r="I29">
        <f t="shared" si="1"/>
        <v>1.15625</v>
      </c>
    </row>
    <row r="30" spans="1:9" x14ac:dyDescent="0.25">
      <c r="A30" t="s">
        <v>278</v>
      </c>
      <c r="B30">
        <v>60</v>
      </c>
      <c r="C30" t="s">
        <v>697</v>
      </c>
      <c r="D30">
        <v>1</v>
      </c>
      <c r="E30">
        <v>3</v>
      </c>
      <c r="F30">
        <v>0</v>
      </c>
      <c r="G30">
        <f t="shared" si="0"/>
        <v>64</v>
      </c>
      <c r="H30">
        <f t="shared" si="3"/>
        <v>64</v>
      </c>
      <c r="I30">
        <f t="shared" si="1"/>
        <v>1</v>
      </c>
    </row>
    <row r="31" spans="1:9" x14ac:dyDescent="0.25">
      <c r="A31" t="s">
        <v>298</v>
      </c>
      <c r="B31">
        <v>60</v>
      </c>
      <c r="C31" t="s">
        <v>697</v>
      </c>
      <c r="D31">
        <v>1</v>
      </c>
      <c r="E31">
        <v>3</v>
      </c>
      <c r="F31">
        <v>0</v>
      </c>
      <c r="G31">
        <f t="shared" si="0"/>
        <v>64</v>
      </c>
      <c r="H31">
        <f t="shared" si="3"/>
        <v>64</v>
      </c>
      <c r="I31">
        <f t="shared" si="1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Times</vt:lpstr>
      <vt:lpstr>Torcidas</vt:lpstr>
      <vt:lpstr>Níveis de cidades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Wilker Pietro</cp:lastModifiedBy>
  <cp:revision/>
  <dcterms:created xsi:type="dcterms:W3CDTF">2026-02-11T23:10:07Z</dcterms:created>
  <dcterms:modified xsi:type="dcterms:W3CDTF">2026-08-14T19:50:30Z</dcterms:modified>
  <cp:category/>
  <cp:contentStatus/>
</cp:coreProperties>
</file>